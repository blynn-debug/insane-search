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14C152-6C81-442B-B0D2-9938EA93D2A6}" xr6:coauthVersionLast="36" xr6:coauthVersionMax="36" xr10:uidLastSave="{00000000-0000-0000-0000-000000000000}"/>
  <bookViews>
    <workbookView xWindow="0" yWindow="0" windowWidth="28800" windowHeight="11400" activeTab="1" xr2:uid="{00000000-000D-0000-FFFF-FFFF00000000}"/>
  </bookViews>
  <sheets>
    <sheet name="물건정보" sheetId="1" r:id="rId1"/>
    <sheet name="시세조사" sheetId="2" r:id="rId2"/>
    <sheet name="시세조사2" sheetId="3" r:id="rId3"/>
    <sheet name="Cash flow" sheetId="4" r:id="rId4"/>
  </sheets>
  <definedNames>
    <definedName name="_xlnm.Print_Area" localSheetId="0">물건정보!$A$1:$J$42</definedName>
    <definedName name="_xlnm.Print_Area" localSheetId="1">시세조사!$A$1:$L$55</definedName>
  </definedNames>
  <calcPr calcId="191029"/>
</workbook>
</file>

<file path=xl/calcChain.xml><?xml version="1.0" encoding="utf-8"?>
<calcChain xmlns="http://schemas.openxmlformats.org/spreadsheetml/2006/main">
  <c r="B18" i="4" l="1"/>
  <c r="B15" i="4"/>
  <c r="G14" i="4"/>
  <c r="G13" i="4"/>
  <c r="F15" i="4" s="1"/>
  <c r="E13" i="4"/>
  <c r="C13" i="4"/>
  <c r="G12" i="4"/>
  <c r="E12" i="4"/>
  <c r="D15" i="4" s="1"/>
  <c r="C12" i="4"/>
  <c r="D18" i="4" s="1"/>
  <c r="D7" i="4"/>
  <c r="B7" i="4"/>
  <c r="H29" i="3"/>
  <c r="G29" i="3"/>
  <c r="J27" i="3"/>
  <c r="I27" i="3"/>
  <c r="J25" i="3"/>
  <c r="I25" i="3"/>
  <c r="J23" i="3"/>
  <c r="I23" i="3"/>
  <c r="J21" i="3"/>
  <c r="I21" i="3"/>
  <c r="J19" i="3"/>
  <c r="I19" i="3"/>
  <c r="J17" i="3"/>
  <c r="J29" i="3" s="1"/>
  <c r="I17" i="3"/>
  <c r="I29" i="3" s="1"/>
  <c r="I13" i="3"/>
  <c r="I12" i="3"/>
  <c r="I11" i="3"/>
  <c r="I10" i="3"/>
  <c r="I9" i="3"/>
  <c r="I8" i="3"/>
  <c r="I7" i="3"/>
  <c r="I6" i="3"/>
  <c r="I5" i="3"/>
  <c r="I4" i="3"/>
  <c r="H34" i="2"/>
  <c r="H35" i="2" s="1"/>
  <c r="H33" i="2"/>
  <c r="H36" i="2" s="1"/>
  <c r="H32" i="2"/>
  <c r="H31" i="2"/>
  <c r="H30" i="2"/>
  <c r="H29" i="2"/>
  <c r="H28" i="2"/>
  <c r="H27" i="2"/>
  <c r="H26" i="2"/>
  <c r="H25" i="2"/>
  <c r="H18" i="2"/>
  <c r="H20" i="2" s="1"/>
  <c r="H17" i="2"/>
  <c r="H16" i="2"/>
  <c r="H15" i="2"/>
  <c r="H14" i="2"/>
  <c r="H13" i="2"/>
  <c r="H12" i="2"/>
  <c r="H11" i="2"/>
  <c r="H10" i="2"/>
  <c r="H9" i="2"/>
  <c r="H8" i="2"/>
  <c r="H7" i="2"/>
  <c r="H6" i="2"/>
  <c r="H19" i="2" s="1"/>
  <c r="E28" i="1"/>
  <c r="D14" i="1"/>
  <c r="E32" i="1" s="1"/>
  <c r="B14" i="1"/>
  <c r="G13" i="1"/>
  <c r="C13" i="1"/>
  <c r="C14" i="1" s="1"/>
  <c r="G8" i="1"/>
  <c r="C8" i="1"/>
  <c r="G16" i="4" l="1"/>
  <c r="F18" i="4" s="1"/>
  <c r="H18" i="4"/>
  <c r="E33" i="1"/>
  <c r="F13" i="1"/>
  <c r="E31" i="1"/>
  <c r="E30" i="1"/>
  <c r="I13" i="1"/>
  <c r="E29" i="1"/>
  <c r="H32" i="1" l="1"/>
  <c r="H28" i="1"/>
  <c r="H31" i="1"/>
  <c r="H29" i="1"/>
  <c r="H30" i="1"/>
  <c r="F14" i="1"/>
  <c r="H33" i="1"/>
</calcChain>
</file>

<file path=xl/sharedStrings.xml><?xml version="1.0" encoding="utf-8"?>
<sst xmlns="http://schemas.openxmlformats.org/spreadsheetml/2006/main" count="394" uniqueCount="272">
  <si>
    <t>호매실동 물건 분석 보고서</t>
  </si>
  <si>
    <t>물건기본정보</t>
  </si>
  <si>
    <t>용도</t>
  </si>
  <si>
    <t>소재지</t>
  </si>
  <si>
    <t>소유자 / 채무자</t>
  </si>
  <si>
    <t>상가</t>
  </si>
  <si>
    <t>인천광역시 서구 원당동 1041-11(토지)</t>
  </si>
  <si>
    <t>채권정보                                                                                                                                                                     (단위 : 원)</t>
  </si>
  <si>
    <t>채권원금</t>
  </si>
  <si>
    <t>채권최고액</t>
  </si>
  <si>
    <t>감정가</t>
  </si>
  <si>
    <t>감정가대비 LTV</t>
  </si>
  <si>
    <t>비고</t>
  </si>
  <si>
    <t>현재 원금200억원에 다른곳에서 진행중인데 지연시 매각의향 있다고 함</t>
  </si>
  <si>
    <t>감정가정보</t>
  </si>
  <si>
    <t>(단위 : 원)</t>
  </si>
  <si>
    <t>구분</t>
  </si>
  <si>
    <t>면적</t>
  </si>
  <si>
    <t>감정가(법사가)</t>
  </si>
  <si>
    <t>비율</t>
  </si>
  <si>
    <t>㎡당금액</t>
  </si>
  <si>
    <t>평당금액</t>
  </si>
  <si>
    <t>(㎡)</t>
  </si>
  <si>
    <t>(평)</t>
  </si>
  <si>
    <t>토지</t>
  </si>
  <si>
    <t>합계</t>
  </si>
  <si>
    <t>등기부현황</t>
  </si>
  <si>
    <t>접수일자</t>
  </si>
  <si>
    <t>종류</t>
  </si>
  <si>
    <t>권리자</t>
  </si>
  <si>
    <t>채권액</t>
  </si>
  <si>
    <t>인수</t>
  </si>
  <si>
    <t>임차현황</t>
  </si>
  <si>
    <t>임차인</t>
  </si>
  <si>
    <t>대항력</t>
  </si>
  <si>
    <t>점유</t>
  </si>
  <si>
    <t>전입/확정/배당</t>
  </si>
  <si>
    <t>보증금/월세</t>
  </si>
  <si>
    <t>경매현황</t>
  </si>
  <si>
    <t>관할</t>
  </si>
  <si>
    <t>사건번호</t>
  </si>
  <si>
    <t>개시결정일자</t>
  </si>
  <si>
    <t>배당요구종기일</t>
  </si>
  <si>
    <t>신청권자</t>
  </si>
  <si>
    <t>온비드공매</t>
  </si>
  <si>
    <t>2025-0900-069903</t>
  </si>
  <si>
    <t>공고일 2025-09-26</t>
  </si>
  <si>
    <t>해당없음 (신탁공매)</t>
  </si>
  <si>
    <t>코리아신탁(주) 신탁사업팀</t>
  </si>
  <si>
    <t>회차</t>
  </si>
  <si>
    <t>매각기일</t>
  </si>
  <si>
    <t>최저매각가격</t>
  </si>
  <si>
    <t>감정가대비</t>
  </si>
  <si>
    <t>저감율</t>
  </si>
  <si>
    <t>토지(평)</t>
  </si>
  <si>
    <t>건물(평)</t>
  </si>
  <si>
    <t>낙찰가격(%)</t>
  </si>
  <si>
    <t>1회차</t>
  </si>
  <si>
    <t xml:space="preserve"> - </t>
  </si>
  <si>
    <t>-</t>
  </si>
  <si>
    <t>유찰</t>
  </si>
  <si>
    <t>2회차</t>
  </si>
  <si>
    <t>3회차</t>
  </si>
  <si>
    <t>4회차</t>
  </si>
  <si>
    <t>5회차</t>
  </si>
  <si>
    <t>6회차</t>
  </si>
  <si>
    <t>2025-10-30</t>
  </si>
  <si>
    <t>유찰 (수의계약 가능)</t>
  </si>
  <si>
    <t>종합의견</t>
  </si>
  <si>
    <t xml:space="preserve">   </t>
  </si>
  <si>
    <t>시세조사 요약 및 비교표</t>
  </si>
  <si>
    <t>3. 시세조사내용</t>
  </si>
  <si>
    <t>1) 인근 실거래가</t>
  </si>
  <si>
    <t>(단위: 원)</t>
  </si>
  <si>
    <t>no</t>
  </si>
  <si>
    <t>매매일자</t>
  </si>
  <si>
    <t>주소</t>
  </si>
  <si>
    <t>종류 / 층</t>
  </si>
  <si>
    <t>매매가</t>
  </si>
  <si>
    <t>평당가</t>
  </si>
  <si>
    <t>사용승인</t>
  </si>
  <si>
    <t xml:space="preserve">비고 </t>
  </si>
  <si>
    <t>전용(평)</t>
  </si>
  <si>
    <t>①</t>
  </si>
  <si>
    <t>2025-04-24</t>
  </si>
  <si>
    <t>원당동 1038-1</t>
  </si>
  <si>
    <t>제1종근생 / 1층</t>
  </si>
  <si>
    <t>2022-07</t>
  </si>
  <si>
    <t>아파트 정문 앞 코너 1층(검단아인시티)</t>
  </si>
  <si>
    <t>②</t>
  </si>
  <si>
    <t>2026-06-07</t>
  </si>
  <si>
    <t>원당동 1043-9</t>
  </si>
  <si>
    <t>2022-04</t>
  </si>
  <si>
    <t>발산로 대로변 1층</t>
  </si>
  <si>
    <t>③</t>
  </si>
  <si>
    <t>2026-05-14</t>
  </si>
  <si>
    <t>원당동 1040-4</t>
  </si>
  <si>
    <t>2022-05</t>
  </si>
  <si>
    <t>이음5로 먹자골목 1층(제일프라자)</t>
  </si>
  <si>
    <t>④</t>
  </si>
  <si>
    <t>2025-09-24</t>
  </si>
  <si>
    <t>원당동 1041-10</t>
  </si>
  <si>
    <t>제1종근생 / 4층</t>
  </si>
  <si>
    <t>2024-01</t>
  </si>
  <si>
    <t>물건지 바로 옆 건물(이안테라디움검단101)</t>
  </si>
  <si>
    <t>⑤</t>
  </si>
  <si>
    <t>2025-04-07</t>
  </si>
  <si>
    <t>원당동 1043-14</t>
  </si>
  <si>
    <t>제1종근생 / 7층</t>
  </si>
  <si>
    <t>2023-05</t>
  </si>
  <si>
    <t>물건지 옆 건물(메가타워)</t>
  </si>
  <si>
    <t>⑥</t>
  </si>
  <si>
    <t>2024-05-09</t>
  </si>
  <si>
    <t>제2종근생 / 5층</t>
  </si>
  <si>
    <t>⑦</t>
  </si>
  <si>
    <t>2024-09-26</t>
  </si>
  <si>
    <t>원당동 1043-2</t>
  </si>
  <si>
    <t>제2종근생 / 2층</t>
  </si>
  <si>
    <t>2023-07</t>
  </si>
  <si>
    <t>안쪽 건물(세중시그니쳐2차)</t>
  </si>
  <si>
    <t>⑧</t>
  </si>
  <si>
    <t>2026-04-14</t>
  </si>
  <si>
    <t>발산로 대로변 건물</t>
  </si>
  <si>
    <t>⑨</t>
  </si>
  <si>
    <t>2025-01-03</t>
  </si>
  <si>
    <t>제1종근생 / 2층</t>
  </si>
  <si>
    <t>아파트 정문 앞 코너 건물</t>
  </si>
  <si>
    <t>⑩</t>
  </si>
  <si>
    <t>2026-01-08</t>
  </si>
  <si>
    <t>원당동 1040</t>
  </si>
  <si>
    <t>제2종근생 / 8층</t>
  </si>
  <si>
    <t>2022-08</t>
  </si>
  <si>
    <t>이음5로 대로변 건물(연세프라자8차)</t>
  </si>
  <si>
    <t>⑪</t>
  </si>
  <si>
    <t>2025-02-03</t>
  </si>
  <si>
    <t>⑫</t>
  </si>
  <si>
    <t>2024-08-26</t>
  </si>
  <si>
    <t>원당동 1041-4</t>
  </si>
  <si>
    <t>제2종근생 / 1층</t>
  </si>
  <si>
    <t>2022-06</t>
  </si>
  <si>
    <t>이음대로 대로변 1층(메트로시티)</t>
  </si>
  <si>
    <t>⑬</t>
  </si>
  <si>
    <t>2026-01-15</t>
  </si>
  <si>
    <t>원당동 1040-1</t>
  </si>
  <si>
    <t>제2종근생 / 6층</t>
  </si>
  <si>
    <t>2022-10</t>
  </si>
  <si>
    <t>이음5로 사거리 코너(검단쓰리엠타워)</t>
  </si>
  <si>
    <t>평균</t>
  </si>
  <si>
    <t>1층 제외평균</t>
  </si>
  <si>
    <t>2) 인근 네이버 매물</t>
  </si>
  <si>
    <t>전용면적(평)</t>
  </si>
  <si>
    <t>비고
사용승인 / 기보증금</t>
  </si>
  <si>
    <t>기보증금</t>
  </si>
  <si>
    <t>상가 3층</t>
  </si>
  <si>
    <t xml:space="preserve"> 2024-01 / 물건지 바로 옆 건물</t>
  </si>
  <si>
    <t>원당동 1043-11</t>
  </si>
  <si>
    <t>상가 4층</t>
  </si>
  <si>
    <t xml:space="preserve"> 2022-12 / 물건지 옆 건물</t>
  </si>
  <si>
    <t>상가 1층</t>
  </si>
  <si>
    <t xml:space="preserve"> 2022-04 / 발산로 대로변 1층</t>
  </si>
  <si>
    <t xml:space="preserve"> 2022-05 / 이음5로 먹자골목 1층(제일프라자)</t>
  </si>
  <si>
    <t xml:space="preserve"> 2022-07 / 병원 임대중(검단아인시티), 아파트 정문 앞</t>
  </si>
  <si>
    <t>원당동 1040-3</t>
  </si>
  <si>
    <t>상가 7층(층 전체)</t>
  </si>
  <si>
    <t xml:space="preserve"> 2022-11 / 연세프라자9차 7층 통층 상가건물(전용 182평)</t>
  </si>
  <si>
    <t>20,000 / 1,170</t>
  </si>
  <si>
    <t>상가 6층</t>
  </si>
  <si>
    <t>사용승인 2022-08 / 이음5로 대로변(연세프라자8차), 선임대</t>
  </si>
  <si>
    <t>사용승인 2022-10 / 사거리 코너(검단쓰리엠타워), 선임대</t>
  </si>
  <si>
    <t>원당동 1043-5</t>
  </si>
  <si>
    <t>상가 5층</t>
  </si>
  <si>
    <t xml:space="preserve"> 2023-02 / 병원 선임대(엔젤리움원팰리스), 코너 호실</t>
  </si>
  <si>
    <t>5,000 / 320</t>
  </si>
  <si>
    <t>1층 및 상가건물 제외평균</t>
  </si>
  <si>
    <t>3) 인근 월세 조사</t>
  </si>
  <si>
    <t>보증금</t>
  </si>
  <si>
    <t>월세</t>
  </si>
  <si>
    <t>평당가
(전용평당)</t>
  </si>
  <si>
    <t>비고(예시)</t>
  </si>
  <si>
    <t>상가 2층</t>
  </si>
  <si>
    <t>대로변 코너, 물건지 바로 옆 건물(매매)</t>
  </si>
  <si>
    <t>사무실 4층</t>
  </si>
  <si>
    <t>물건지 바로 옆 건물, 아라역 중심상권(매매)</t>
  </si>
  <si>
    <t>보행자 가로변 1층, 물건지 바로 옆 건물(매매)</t>
  </si>
  <si>
    <t>원당동 1043-13</t>
  </si>
  <si>
    <t>2023-08</t>
  </si>
  <si>
    <t>먹자골목 메인상권, 옆 건물</t>
  </si>
  <si>
    <t>위락시설 허가, 먹자골목 옆 건물</t>
  </si>
  <si>
    <t>2022-12</t>
  </si>
  <si>
    <t>위락시설 허가(선우프라자), 옆 건물</t>
  </si>
  <si>
    <t>먹자골목 2면 코너(세중시그니쳐2차)</t>
  </si>
  <si>
    <t>4) 유사 경매사례</t>
  </si>
  <si>
    <t>낙찰일</t>
  </si>
  <si>
    <t>면적(㎡)</t>
  </si>
  <si>
    <t>법사가</t>
  </si>
  <si>
    <t>낙찰금액</t>
  </si>
  <si>
    <t>낙찰가율</t>
  </si>
  <si>
    <t>낙찰 평단가
(토지,건물합산)</t>
  </si>
  <si>
    <t>응찰자</t>
  </si>
  <si>
    <t>2026-05-08</t>
  </si>
  <si>
    <t>2025타경505312[9]</t>
  </si>
  <si>
    <t>원당동 1041-10 이안테라디움검단101 2층 204-1호</t>
  </si>
  <si>
    <t>근린상가</t>
  </si>
  <si>
    <t>1명</t>
  </si>
  <si>
    <t>물건지 바로 옆 건물</t>
  </si>
  <si>
    <t>2026-03-06</t>
  </si>
  <si>
    <t>2024타경570579</t>
  </si>
  <si>
    <t>원당동 1040-1 검단쓰리엠타워 1층 111호</t>
  </si>
  <si>
    <t>2명</t>
  </si>
  <si>
    <t>이음5로 사거리 코너 1층</t>
  </si>
  <si>
    <t>2024-10-08</t>
  </si>
  <si>
    <t>2023타경12823</t>
  </si>
  <si>
    <t>원당동 1041-4 메트로시티 1층 108호</t>
  </si>
  <si>
    <t>이음대로 대로변 1층</t>
  </si>
  <si>
    <t>2025-01-22</t>
  </si>
  <si>
    <t>2024타경3413</t>
  </si>
  <si>
    <t>원당동 1041-4 메트로시티 1층 109호</t>
  </si>
  <si>
    <t>4명</t>
  </si>
  <si>
    <t>2025-03-13</t>
  </si>
  <si>
    <t>2024타경1844[1]</t>
  </si>
  <si>
    <t>원당동 1033-7 지오프라자 1층 105호</t>
  </si>
  <si>
    <t>바리미로 대로변 1층</t>
  </si>
  <si>
    <t>2026-04-03</t>
  </si>
  <si>
    <t>2024타경11957[1]</t>
  </si>
  <si>
    <t>원당동 1035-1 라페온빌2차 3층 303호</t>
  </si>
  <si>
    <t>3명</t>
  </si>
  <si>
    <t>원당대로변 3층</t>
  </si>
  <si>
    <t>2.2명</t>
  </si>
  <si>
    <t>인천광역시 서구 원당동 1033-7 제5층</t>
  </si>
  <si>
    <t>사후정산부</t>
  </si>
  <si>
    <t xml:space="preserve">감정가 </t>
  </si>
  <si>
    <t>원금</t>
  </si>
  <si>
    <t>채권매입가</t>
  </si>
  <si>
    <t>낙찰가</t>
  </si>
  <si>
    <t>경락 이전</t>
  </si>
  <si>
    <t>경락 이후</t>
  </si>
  <si>
    <t xml:space="preserve">채권 매입 </t>
  </si>
  <si>
    <t>유입(경락)</t>
  </si>
  <si>
    <t xml:space="preserve">소유권 이전 </t>
  </si>
  <si>
    <t>배당</t>
  </si>
  <si>
    <t>일자</t>
  </si>
  <si>
    <t>26년 8월</t>
  </si>
  <si>
    <t>26년10월</t>
  </si>
  <si>
    <t>26년11월</t>
  </si>
  <si>
    <t>26년11월~26년12월</t>
  </si>
  <si>
    <t>진행 항목</t>
  </si>
  <si>
    <t>채권 계약</t>
  </si>
  <si>
    <t>경락유입</t>
  </si>
  <si>
    <t>낙찰대금지급 및 등기</t>
  </si>
  <si>
    <t xml:space="preserve">배당 및 최종정리 </t>
  </si>
  <si>
    <t>계약비용</t>
  </si>
  <si>
    <t>입찰보증금(10%)</t>
  </si>
  <si>
    <t>금융대출(80%)</t>
  </si>
  <si>
    <t>경매비용</t>
  </si>
  <si>
    <t>미정</t>
  </si>
  <si>
    <t>계약금</t>
  </si>
  <si>
    <t xml:space="preserve">경락 비용 </t>
  </si>
  <si>
    <t>잔금</t>
  </si>
  <si>
    <t>당해세</t>
  </si>
  <si>
    <t>등기(5%)</t>
  </si>
  <si>
    <t>선순위근저당</t>
  </si>
  <si>
    <t>없음</t>
  </si>
  <si>
    <t xml:space="preserve">소요비용 </t>
  </si>
  <si>
    <t>기간</t>
  </si>
  <si>
    <t xml:space="preserve">약 3개월 </t>
  </si>
  <si>
    <t>총 소요비용</t>
  </si>
  <si>
    <t>총 결산
(배당-지출-질권대출금)</t>
  </si>
  <si>
    <t xml:space="preserve">배당금 </t>
  </si>
  <si>
    <t>채권비용</t>
  </si>
  <si>
    <t>소요비용</t>
  </si>
  <si>
    <t>결산금액</t>
  </si>
  <si>
    <t xml:space="preserve">병원 기보증금/월세 미기재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</si>
</sst>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#,##0_);[Red]\(#,##0\)"/>
    <numFmt numFmtId="178" formatCode="#,##0_ "/>
    <numFmt numFmtId="179" formatCode="_-* #,##0.00_-;\-* #,##0.00_-;_-* &quot;-&quot;_-;_-@_-"/>
    <numFmt numFmtId="180" formatCode="#,##0_ ;[Red]\-#,##0\ "/>
  </numFmts>
  <fonts count="21" x14ac:knownFonts="1">
    <font>
      <sz val="11"/>
      <color theme="1"/>
      <name val="맑은 고딕"/>
    </font>
    <font>
      <sz val="11"/>
      <color theme="1"/>
      <name val="Calibri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Calibri"/>
      <family val="2"/>
    </font>
    <font>
      <sz val="8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sz val="10"/>
      <color rgb="FF11182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111827"/>
      <name val="맑은 고딕"/>
      <family val="3"/>
      <charset val="129"/>
    </font>
    <font>
      <sz val="8"/>
      <color rgb="FF111827"/>
      <name val="맑은 고딕"/>
      <family val="3"/>
      <charset val="129"/>
    </font>
    <font>
      <b/>
      <sz val="8"/>
      <color rgb="FF111827"/>
      <name val="맑은 고딕"/>
      <family val="3"/>
      <charset val="129"/>
    </font>
    <font>
      <sz val="10"/>
      <color rgb="FF111827"/>
      <name val="맑은 고딕"/>
      <family val="3"/>
      <charset val="129"/>
    </font>
    <font>
      <b/>
      <sz val="16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66666"/>
      </top>
      <bottom/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 style="thin">
        <color indexed="64"/>
      </right>
      <top style="thin">
        <color rgb="FF666666"/>
      </top>
      <bottom/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/>
      <top/>
      <bottom style="thin">
        <color rgb="FF666666"/>
      </bottom>
      <diagonal/>
    </border>
    <border>
      <left/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1F4E78"/>
      </bottom>
      <diagonal/>
    </border>
    <border>
      <left/>
      <right/>
      <top style="medium">
        <color indexed="64"/>
      </top>
      <bottom style="thin">
        <color rgb="FF1F4E78"/>
      </bottom>
      <diagonal/>
    </border>
    <border>
      <left/>
      <right style="medium">
        <color indexed="64"/>
      </right>
      <top style="medium">
        <color indexed="64"/>
      </top>
      <bottom style="thin">
        <color rgb="FF1F4E78"/>
      </bottom>
      <diagonal/>
    </border>
    <border>
      <left style="thin">
        <color indexed="64"/>
      </left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1F4E7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66666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666666"/>
      </bottom>
      <diagonal/>
    </border>
    <border>
      <left/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1F4E78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666666"/>
      </top>
      <bottom style="thin">
        <color rgb="FF666666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1F4E7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rgb="FF666666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/>
      <bottom style="thin">
        <color indexed="64"/>
      </bottom>
      <diagonal/>
    </border>
    <border>
      <left style="thin">
        <color rgb="FF666666"/>
      </left>
      <right style="medium">
        <color indexed="64"/>
      </right>
      <top style="thin">
        <color rgb="FF666666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/>
      <right style="thin">
        <color rgb="FF666666"/>
      </right>
      <top style="thin">
        <color indexed="64"/>
      </top>
      <bottom/>
      <diagonal/>
    </border>
    <border>
      <left/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1F4E78"/>
      </top>
      <bottom style="thin">
        <color indexed="64"/>
      </bottom>
      <diagonal/>
    </border>
    <border>
      <left/>
      <right style="thin">
        <color rgb="FF000000"/>
      </right>
      <top style="thin">
        <color rgb="FF666666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</borders>
  <cellStyleXfs count="5">
    <xf numFmtId="0" fontId="0" fillId="0" borderId="1">
      <alignment vertical="center"/>
    </xf>
    <xf numFmtId="41" fontId="3" fillId="0" borderId="1">
      <alignment vertical="center"/>
    </xf>
    <xf numFmtId="9" fontId="3" fillId="0" borderId="1">
      <alignment vertical="center"/>
    </xf>
    <xf numFmtId="0" fontId="6" fillId="0" borderId="1"/>
    <xf numFmtId="0" fontId="1" fillId="11" borderId="1">
      <alignment vertical="center"/>
    </xf>
  </cellStyleXfs>
  <cellXfs count="268">
    <xf numFmtId="0" fontId="0" fillId="0" borderId="0" xfId="0" applyBorder="1" applyAlignment="1">
      <alignment vertical="center"/>
    </xf>
    <xf numFmtId="14" fontId="5" fillId="0" borderId="0" xfId="1" applyNumberFormat="1" applyFont="1" applyBorder="1" applyAlignment="1">
      <alignment horizontal="center"/>
    </xf>
    <xf numFmtId="10" fontId="5" fillId="0" borderId="0" xfId="2" applyNumberFormat="1" applyFont="1" applyBorder="1" applyAlignment="1"/>
    <xf numFmtId="14" fontId="5" fillId="0" borderId="0" xfId="0" applyNumberFormat="1" applyFont="1" applyBorder="1" applyAlignment="1">
      <alignment horizontal="center" vertical="center"/>
    </xf>
    <xf numFmtId="10" fontId="0" fillId="0" borderId="0" xfId="2" applyNumberFormat="1" applyFont="1" applyBorder="1" applyAlignment="1"/>
    <xf numFmtId="0" fontId="10" fillId="3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/>
    <xf numFmtId="0" fontId="5" fillId="0" borderId="0" xfId="0" applyFont="1" applyBorder="1" applyAlignment="1"/>
    <xf numFmtId="0" fontId="4" fillId="0" borderId="0" xfId="0" applyFont="1" applyBorder="1" applyAlignment="1">
      <alignment horizontal="center"/>
    </xf>
    <xf numFmtId="9" fontId="5" fillId="0" borderId="0" xfId="0" applyNumberFormat="1" applyFont="1" applyBorder="1" applyAlignment="1"/>
    <xf numFmtId="0" fontId="5" fillId="0" borderId="0" xfId="0" applyFont="1" applyBorder="1" applyAlignment="1">
      <alignment horizontal="center"/>
    </xf>
    <xf numFmtId="9" fontId="0" fillId="0" borderId="0" xfId="0" applyNumberFormat="1" applyBorder="1" applyAlignment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/>
    </xf>
    <xf numFmtId="3" fontId="14" fillId="6" borderId="2" xfId="0" applyNumberFormat="1" applyFont="1" applyFill="1" applyBorder="1" applyAlignment="1">
      <alignment horizontal="center" vertical="center" wrapText="1"/>
    </xf>
    <xf numFmtId="0" fontId="11" fillId="7" borderId="46" xfId="0" applyFont="1" applyFill="1" applyBorder="1" applyAlignment="1">
      <alignment horizontal="left" vertical="center"/>
    </xf>
    <xf numFmtId="0" fontId="11" fillId="7" borderId="47" xfId="0" applyFont="1" applyFill="1" applyBorder="1" applyAlignment="1">
      <alignment horizontal="left" vertical="center"/>
    </xf>
    <xf numFmtId="14" fontId="11" fillId="7" borderId="47" xfId="0" applyNumberFormat="1" applyFont="1" applyFill="1" applyBorder="1" applyAlignment="1">
      <alignment horizontal="left" vertical="center"/>
    </xf>
    <xf numFmtId="14" fontId="13" fillId="9" borderId="2" xfId="0" applyNumberFormat="1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1" fillId="7" borderId="39" xfId="0" applyFont="1" applyFill="1" applyBorder="1" applyAlignment="1">
      <alignment horizontal="left" vertical="center"/>
    </xf>
    <xf numFmtId="0" fontId="11" fillId="7" borderId="40" xfId="0" applyFont="1" applyFill="1" applyBorder="1" applyAlignment="1">
      <alignment horizontal="left" vertical="center"/>
    </xf>
    <xf numFmtId="14" fontId="11" fillId="7" borderId="40" xfId="0" applyNumberFormat="1" applyFont="1" applyFill="1" applyBorder="1" applyAlignment="1">
      <alignment horizontal="left" vertical="center"/>
    </xf>
    <xf numFmtId="14" fontId="11" fillId="7" borderId="41" xfId="0" applyNumberFormat="1" applyFont="1" applyFill="1" applyBorder="1" applyAlignment="1">
      <alignment horizontal="left" vertical="center"/>
    </xf>
    <xf numFmtId="0" fontId="12" fillId="8" borderId="37" xfId="0" applyFont="1" applyFill="1" applyBorder="1" applyAlignment="1">
      <alignment horizontal="center" vertical="center" wrapText="1"/>
    </xf>
    <xf numFmtId="0" fontId="12" fillId="8" borderId="26" xfId="0" applyFont="1" applyFill="1" applyBorder="1" applyAlignment="1">
      <alignment horizontal="center" vertical="center" wrapText="1"/>
    </xf>
    <xf numFmtId="0" fontId="12" fillId="8" borderId="42" xfId="0" applyFont="1" applyFill="1" applyBorder="1" applyAlignment="1">
      <alignment horizontal="center" vertical="center" wrapText="1"/>
    </xf>
    <xf numFmtId="0" fontId="0" fillId="9" borderId="1" xfId="0" applyFill="1" applyAlignment="1">
      <alignment vertical="center"/>
    </xf>
    <xf numFmtId="0" fontId="10" fillId="3" borderId="58" xfId="0" applyFont="1" applyFill="1" applyBorder="1" applyAlignment="1">
      <alignment horizontal="center" vertical="center" wrapText="1"/>
    </xf>
    <xf numFmtId="0" fontId="11" fillId="4" borderId="56" xfId="0" applyFont="1" applyFill="1" applyBorder="1" applyAlignment="1">
      <alignment horizontal="right" vertical="center"/>
    </xf>
    <xf numFmtId="0" fontId="10" fillId="3" borderId="35" xfId="0" applyFont="1" applyFill="1" applyBorder="1" applyAlignment="1">
      <alignment horizontal="center" vertical="center" wrapText="1"/>
    </xf>
    <xf numFmtId="4" fontId="10" fillId="3" borderId="2" xfId="0" applyNumberFormat="1" applyFont="1" applyFill="1" applyBorder="1" applyAlignment="1">
      <alignment horizontal="center" vertical="center" wrapText="1"/>
    </xf>
    <xf numFmtId="0" fontId="9" fillId="6" borderId="58" xfId="0" applyFont="1" applyFill="1" applyBorder="1" applyAlignment="1">
      <alignment horizontal="center" vertical="center" wrapText="1"/>
    </xf>
    <xf numFmtId="4" fontId="9" fillId="6" borderId="59" xfId="0" applyNumberFormat="1" applyFont="1" applyFill="1" applyBorder="1" applyAlignment="1">
      <alignment horizontal="center" vertical="center" wrapText="1"/>
    </xf>
    <xf numFmtId="0" fontId="9" fillId="5" borderId="57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14" fontId="10" fillId="3" borderId="2" xfId="0" applyNumberFormat="1" applyFont="1" applyFill="1" applyBorder="1" applyAlignment="1">
      <alignment horizontal="center" vertical="center" wrapText="1"/>
    </xf>
    <xf numFmtId="9" fontId="10" fillId="3" borderId="2" xfId="0" applyNumberFormat="1" applyFont="1" applyFill="1" applyBorder="1" applyAlignment="1">
      <alignment horizontal="center" vertical="center" wrapText="1"/>
    </xf>
    <xf numFmtId="3" fontId="14" fillId="6" borderId="59" xfId="0" applyNumberFormat="1" applyFont="1" applyFill="1" applyBorder="1" applyAlignment="1">
      <alignment horizontal="center" vertical="center" wrapText="1"/>
    </xf>
    <xf numFmtId="14" fontId="11" fillId="7" borderId="70" xfId="0" applyNumberFormat="1" applyFont="1" applyFill="1" applyBorder="1" applyAlignment="1">
      <alignment horizontal="left" vertical="center"/>
    </xf>
    <xf numFmtId="0" fontId="12" fillId="8" borderId="72" xfId="0" applyFont="1" applyFill="1" applyBorder="1" applyAlignment="1">
      <alignment horizontal="center" vertical="center" wrapText="1"/>
    </xf>
    <xf numFmtId="14" fontId="11" fillId="7" borderId="74" xfId="0" applyNumberFormat="1" applyFont="1" applyFill="1" applyBorder="1" applyAlignment="1">
      <alignment horizontal="left" vertical="center"/>
    </xf>
    <xf numFmtId="0" fontId="13" fillId="10" borderId="35" xfId="0" applyFont="1" applyFill="1" applyBorder="1" applyAlignment="1">
      <alignment horizontal="center" vertical="center" wrapText="1"/>
    </xf>
    <xf numFmtId="3" fontId="13" fillId="10" borderId="2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vertical="center"/>
    </xf>
    <xf numFmtId="0" fontId="0" fillId="12" borderId="3" xfId="0" applyFill="1" applyBorder="1" applyAlignment="1">
      <alignment vertical="center"/>
    </xf>
    <xf numFmtId="0" fontId="0" fillId="0" borderId="1" xfId="0" applyAlignment="1">
      <alignment horizontal="right"/>
    </xf>
    <xf numFmtId="0" fontId="18" fillId="0" borderId="53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3" fontId="0" fillId="0" borderId="1" xfId="0" applyNumberFormat="1" applyAlignment="1">
      <alignment vertical="center"/>
    </xf>
    <xf numFmtId="10" fontId="17" fillId="0" borderId="1" xfId="0" applyNumberFormat="1" applyFont="1" applyAlignment="1">
      <alignment horizontal="center" vertical="center"/>
    </xf>
    <xf numFmtId="0" fontId="17" fillId="0" borderId="80" xfId="0" applyFont="1" applyBorder="1" applyAlignment="1">
      <alignment horizontal="center" vertical="center"/>
    </xf>
    <xf numFmtId="3" fontId="0" fillId="0" borderId="80" xfId="0" applyNumberFormat="1" applyBorder="1" applyAlignment="1">
      <alignment horizontal="center" vertical="center"/>
    </xf>
    <xf numFmtId="0" fontId="17" fillId="13" borderId="82" xfId="4" applyFont="1" applyFill="1" applyBorder="1" applyAlignment="1">
      <alignment horizontal="center" vertical="center"/>
    </xf>
    <xf numFmtId="0" fontId="17" fillId="0" borderId="82" xfId="0" applyFont="1" applyBorder="1" applyAlignment="1">
      <alignment horizontal="center" vertical="center"/>
    </xf>
    <xf numFmtId="0" fontId="0" fillId="0" borderId="1" xfId="0" applyAlignment="1"/>
    <xf numFmtId="0" fontId="11" fillId="4" borderId="55" xfId="0" applyFont="1" applyFill="1" applyBorder="1" applyAlignment="1">
      <alignment horizontal="left" vertical="center"/>
    </xf>
    <xf numFmtId="0" fontId="11" fillId="4" borderId="56" xfId="0" applyFont="1" applyFill="1" applyBorder="1" applyAlignment="1">
      <alignment horizontal="left" vertical="center"/>
    </xf>
    <xf numFmtId="0" fontId="13" fillId="0" borderId="35" xfId="0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0" fillId="3" borderId="1" xfId="0" applyFont="1" applyFill="1" applyAlignment="1">
      <alignment horizontal="center" vertical="center" wrapText="1"/>
    </xf>
    <xf numFmtId="3" fontId="10" fillId="3" borderId="2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9" fillId="5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2" fontId="13" fillId="9" borderId="2" xfId="0" applyNumberFormat="1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59" xfId="0" applyFont="1" applyFill="1" applyBorder="1" applyAlignment="1">
      <alignment horizontal="center" vertical="center" wrapText="1"/>
    </xf>
    <xf numFmtId="0" fontId="13" fillId="9" borderId="35" xfId="0" applyFont="1" applyFill="1" applyBorder="1" applyAlignment="1">
      <alignment horizontal="center" vertical="center" wrapText="1"/>
    </xf>
    <xf numFmtId="49" fontId="13" fillId="9" borderId="2" xfId="0" applyNumberFormat="1" applyFont="1" applyFill="1" applyBorder="1" applyAlignment="1">
      <alignment horizontal="center" vertical="center" wrapText="1"/>
    </xf>
    <xf numFmtId="3" fontId="13" fillId="9" borderId="2" xfId="0" applyNumberFormat="1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7" fillId="13" borderId="80" xfId="4" applyFont="1" applyFill="1" applyBorder="1" applyAlignment="1">
      <alignment horizontal="center" vertical="center"/>
    </xf>
    <xf numFmtId="0" fontId="2" fillId="0" borderId="1" xfId="0" applyFont="1" applyAlignment="1">
      <alignment vertical="center"/>
    </xf>
    <xf numFmtId="0" fontId="0" fillId="0" borderId="1" xfId="0" applyAlignment="1">
      <alignment vertical="center"/>
    </xf>
    <xf numFmtId="0" fontId="5" fillId="0" borderId="1" xfId="0" applyFont="1" applyAlignment="1">
      <alignment horizontal="center"/>
    </xf>
    <xf numFmtId="14" fontId="5" fillId="0" borderId="1" xfId="0" applyNumberFormat="1" applyFont="1" applyAlignment="1">
      <alignment horizontal="center" vertical="center"/>
    </xf>
    <xf numFmtId="9" fontId="5" fillId="0" borderId="1" xfId="0" applyNumberFormat="1" applyFont="1" applyAlignment="1"/>
    <xf numFmtId="10" fontId="5" fillId="0" borderId="1" xfId="2" applyNumberFormat="1" applyFont="1" applyAlignment="1"/>
    <xf numFmtId="0" fontId="5" fillId="0" borderId="1" xfId="0" applyFont="1" applyAlignment="1"/>
    <xf numFmtId="176" fontId="10" fillId="3" borderId="2" xfId="0" applyNumberFormat="1" applyFont="1" applyFill="1" applyBorder="1" applyAlignment="1">
      <alignment horizontal="center" vertical="center" wrapText="1"/>
    </xf>
    <xf numFmtId="176" fontId="9" fillId="6" borderId="59" xfId="0" applyNumberFormat="1" applyFont="1" applyFill="1" applyBorder="1" applyAlignment="1">
      <alignment horizontal="center" vertical="center" wrapText="1"/>
    </xf>
    <xf numFmtId="177" fontId="5" fillId="0" borderId="0" xfId="1" applyNumberFormat="1" applyFont="1" applyBorder="1" applyAlignment="1"/>
    <xf numFmtId="41" fontId="5" fillId="0" borderId="0" xfId="1" applyFont="1" applyBorder="1" applyAlignment="1"/>
    <xf numFmtId="41" fontId="5" fillId="0" borderId="1" xfId="1" applyFont="1" applyAlignment="1"/>
    <xf numFmtId="178" fontId="14" fillId="6" borderId="2" xfId="0" applyNumberFormat="1" applyFont="1" applyFill="1" applyBorder="1" applyAlignment="1">
      <alignment horizontal="center" vertical="center" wrapText="1"/>
    </xf>
    <xf numFmtId="178" fontId="14" fillId="6" borderId="59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Alignment="1">
      <alignment vertical="center" wrapText="1"/>
    </xf>
    <xf numFmtId="177" fontId="0" fillId="0" borderId="1" xfId="0" applyNumberFormat="1" applyAlignment="1"/>
    <xf numFmtId="177" fontId="14" fillId="0" borderId="1" xfId="0" applyNumberFormat="1" applyFont="1" applyAlignment="1">
      <alignment vertical="center" wrapText="1"/>
    </xf>
    <xf numFmtId="41" fontId="19" fillId="0" borderId="75" xfId="1" applyFont="1" applyBorder="1" applyAlignment="1">
      <alignment horizontal="center" vertical="center"/>
    </xf>
    <xf numFmtId="41" fontId="19" fillId="0" borderId="75" xfId="0" applyNumberFormat="1" applyFont="1" applyBorder="1" applyAlignment="1">
      <alignment horizontal="center" vertical="center"/>
    </xf>
    <xf numFmtId="41" fontId="19" fillId="0" borderId="77" xfId="0" applyNumberFormat="1" applyFont="1" applyBorder="1" applyAlignment="1">
      <alignment horizontal="center" vertical="center"/>
    </xf>
    <xf numFmtId="41" fontId="19" fillId="0" borderId="59" xfId="0" applyNumberFormat="1" applyFont="1" applyBorder="1" applyAlignment="1">
      <alignment horizontal="center" vertical="center"/>
    </xf>
    <xf numFmtId="41" fontId="19" fillId="0" borderId="78" xfId="0" applyNumberFormat="1" applyFont="1" applyBorder="1" applyAlignment="1">
      <alignment horizontal="center" vertical="center"/>
    </xf>
    <xf numFmtId="176" fontId="17" fillId="0" borderId="1" xfId="2" applyNumberFormat="1" applyFont="1" applyAlignment="1">
      <alignment horizontal="center" vertical="center"/>
    </xf>
    <xf numFmtId="177" fontId="0" fillId="0" borderId="80" xfId="0" applyNumberFormat="1" applyBorder="1" applyAlignment="1">
      <alignment horizontal="center" vertical="center"/>
    </xf>
    <xf numFmtId="177" fontId="17" fillId="0" borderId="80" xfId="0" applyNumberFormat="1" applyFont="1" applyBorder="1" applyAlignment="1">
      <alignment horizontal="center" vertical="center"/>
    </xf>
    <xf numFmtId="177" fontId="17" fillId="13" borderId="80" xfId="0" applyNumberFormat="1" applyFont="1" applyFill="1" applyBorder="1" applyAlignment="1">
      <alignment horizontal="center" vertical="center"/>
    </xf>
    <xf numFmtId="177" fontId="0" fillId="0" borderId="80" xfId="0" quotePrefix="1" applyNumberFormat="1" applyBorder="1" applyAlignment="1">
      <alignment horizontal="center" vertical="center"/>
    </xf>
    <xf numFmtId="41" fontId="0" fillId="0" borderId="1" xfId="1" applyFont="1" applyAlignment="1">
      <alignment horizontal="center"/>
    </xf>
    <xf numFmtId="0" fontId="0" fillId="0" borderId="0" xfId="0" applyBorder="1" applyAlignment="1">
      <alignment vertical="center"/>
    </xf>
    <xf numFmtId="3" fontId="10" fillId="3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0" fontId="10" fillId="3" borderId="87" xfId="0" applyFont="1" applyFill="1" applyBorder="1" applyAlignment="1">
      <alignment horizontal="center" vertical="center" wrapText="1"/>
    </xf>
    <xf numFmtId="0" fontId="0" fillId="0" borderId="60" xfId="0" applyBorder="1" applyAlignment="1"/>
    <xf numFmtId="0" fontId="0" fillId="0" borderId="61" xfId="0" applyBorder="1" applyAlignment="1"/>
    <xf numFmtId="0" fontId="10" fillId="3" borderId="2" xfId="0" applyFont="1" applyFill="1" applyBorder="1" applyAlignment="1">
      <alignment horizontal="center" vertical="center" wrapText="1"/>
    </xf>
    <xf numFmtId="0" fontId="11" fillId="4" borderId="85" xfId="0" applyFont="1" applyFill="1" applyBorder="1" applyAlignment="1">
      <alignment horizontal="left" vertical="center"/>
    </xf>
    <xf numFmtId="0" fontId="0" fillId="0" borderId="66" xfId="0" applyBorder="1" applyAlignment="1"/>
    <xf numFmtId="0" fontId="0" fillId="0" borderId="67" xfId="0" applyBorder="1" applyAlignment="1"/>
    <xf numFmtId="176" fontId="15" fillId="9" borderId="65" xfId="0" applyNumberFormat="1" applyFont="1" applyFill="1" applyBorder="1" applyAlignment="1">
      <alignment horizontal="center" vertical="center" wrapText="1"/>
    </xf>
    <xf numFmtId="0" fontId="0" fillId="0" borderId="64" xfId="0" applyBorder="1" applyAlignment="1"/>
    <xf numFmtId="0" fontId="9" fillId="5" borderId="2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0" fillId="0" borderId="93" xfId="0" applyBorder="1" applyAlignment="1"/>
    <xf numFmtId="3" fontId="15" fillId="9" borderId="65" xfId="0" applyNumberFormat="1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10" fillId="3" borderId="1" xfId="0" applyFont="1" applyFill="1" applyAlignment="1">
      <alignment horizontal="center" vertical="center" wrapText="1"/>
    </xf>
    <xf numFmtId="0" fontId="9" fillId="8" borderId="63" xfId="0" applyFont="1" applyFill="1" applyBorder="1" applyAlignment="1">
      <alignment horizontal="center" vertical="center" wrapText="1"/>
    </xf>
    <xf numFmtId="0" fontId="0" fillId="0" borderId="89" xfId="0" applyBorder="1" applyAlignment="1"/>
    <xf numFmtId="0" fontId="9" fillId="8" borderId="31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9" fillId="5" borderId="32" xfId="0" applyFont="1" applyFill="1" applyBorder="1" applyAlignment="1">
      <alignment horizontal="center" vertical="center" wrapText="1"/>
    </xf>
    <xf numFmtId="0" fontId="11" fillId="4" borderId="86" xfId="0" applyFont="1" applyFill="1" applyBorder="1" applyAlignment="1">
      <alignment horizontal="left" vertical="center"/>
    </xf>
    <xf numFmtId="0" fontId="0" fillId="0" borderId="55" xfId="0" applyBorder="1" applyAlignment="1"/>
    <xf numFmtId="0" fontId="0" fillId="0" borderId="56" xfId="0" applyBorder="1" applyAlignment="1"/>
    <xf numFmtId="0" fontId="0" fillId="0" borderId="12" xfId="0" applyBorder="1" applyAlignment="1"/>
    <xf numFmtId="0" fontId="0" fillId="0" borderId="1" xfId="0" applyAlignment="1">
      <alignment horizontal="center"/>
    </xf>
    <xf numFmtId="0" fontId="8" fillId="2" borderId="1" xfId="0" applyFont="1" applyFill="1" applyAlignment="1">
      <alignment horizontal="left" vertical="center"/>
    </xf>
    <xf numFmtId="0" fontId="0" fillId="0" borderId="0" xfId="0" applyBorder="1" applyAlignment="1"/>
    <xf numFmtId="0" fontId="11" fillId="4" borderId="53" xfId="0" applyFont="1" applyFill="1" applyBorder="1" applyAlignment="1">
      <alignment horizontal="left" vertical="center"/>
    </xf>
    <xf numFmtId="0" fontId="0" fillId="0" borderId="54" xfId="0" applyBorder="1" applyAlignment="1"/>
    <xf numFmtId="0" fontId="9" fillId="5" borderId="35" xfId="0" applyFont="1" applyFill="1" applyBorder="1" applyAlignment="1">
      <alignment horizontal="center" vertical="center" wrapText="1"/>
    </xf>
    <xf numFmtId="0" fontId="11" fillId="7" borderId="62" xfId="0" applyFont="1" applyFill="1" applyBorder="1" applyAlignment="1">
      <alignment horizontal="left" vertical="center"/>
    </xf>
    <xf numFmtId="0" fontId="0" fillId="0" borderId="94" xfId="0" applyBorder="1" applyAlignment="1"/>
    <xf numFmtId="0" fontId="0" fillId="0" borderId="1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10" fillId="3" borderId="59" xfId="0" applyFont="1" applyFill="1" applyBorder="1" applyAlignment="1">
      <alignment horizontal="center" vertical="center" wrapText="1"/>
    </xf>
    <xf numFmtId="0" fontId="0" fillId="0" borderId="51" xfId="0" applyBorder="1" applyAlignment="1"/>
    <xf numFmtId="0" fontId="0" fillId="0" borderId="88" xfId="0" applyBorder="1" applyAlignment="1"/>
    <xf numFmtId="0" fontId="0" fillId="0" borderId="90" xfId="0" applyBorder="1" applyAlignment="1"/>
    <xf numFmtId="3" fontId="9" fillId="6" borderId="59" xfId="0" applyNumberFormat="1" applyFont="1" applyFill="1" applyBorder="1" applyAlignment="1">
      <alignment horizontal="center" vertical="center" wrapText="1"/>
    </xf>
    <xf numFmtId="49" fontId="10" fillId="9" borderId="91" xfId="0" applyNumberFormat="1" applyFont="1" applyFill="1" applyBorder="1" applyAlignment="1">
      <alignment horizontal="center" vertical="center" wrapText="1"/>
    </xf>
    <xf numFmtId="0" fontId="0" fillId="0" borderId="84" xfId="0" applyBorder="1" applyAlignment="1"/>
    <xf numFmtId="3" fontId="9" fillId="6" borderId="50" xfId="0" applyNumberFormat="1" applyFont="1" applyFill="1" applyBorder="1" applyAlignment="1">
      <alignment horizontal="center" vertical="center" wrapText="1"/>
    </xf>
    <xf numFmtId="0" fontId="0" fillId="0" borderId="69" xfId="0" applyBorder="1" applyAlignment="1"/>
    <xf numFmtId="3" fontId="15" fillId="9" borderId="92" xfId="0" applyNumberFormat="1" applyFont="1" applyFill="1" applyBorder="1" applyAlignment="1">
      <alignment horizontal="center" vertical="center" wrapText="1"/>
    </xf>
    <xf numFmtId="0" fontId="0" fillId="0" borderId="10" xfId="0" applyBorder="1" applyAlignment="1"/>
    <xf numFmtId="0" fontId="9" fillId="5" borderId="9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9" fillId="3" borderId="11" xfId="0" applyFont="1" applyFill="1" applyBorder="1" applyAlignment="1">
      <alignment horizontal="left" vertical="center" wrapText="1"/>
    </xf>
    <xf numFmtId="0" fontId="0" fillId="0" borderId="11" xfId="0" applyBorder="1" applyAlignment="1"/>
    <xf numFmtId="0" fontId="0" fillId="0" borderId="1" xfId="0" applyAlignment="1">
      <alignment vertical="center"/>
    </xf>
    <xf numFmtId="0" fontId="10" fillId="3" borderId="50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14" fillId="0" borderId="1" xfId="0" applyFont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0" fillId="0" borderId="98" xfId="0" applyBorder="1" applyAlignment="1"/>
    <xf numFmtId="0" fontId="13" fillId="9" borderId="2" xfId="0" applyFont="1" applyFill="1" applyBorder="1" applyAlignment="1">
      <alignment horizontal="center" vertical="center" wrapText="1"/>
    </xf>
    <xf numFmtId="2" fontId="13" fillId="9" borderId="2" xfId="0" applyNumberFormat="1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 wrapText="1"/>
    </xf>
    <xf numFmtId="0" fontId="0" fillId="0" borderId="18" xfId="0" applyBorder="1" applyAlignment="1"/>
    <xf numFmtId="0" fontId="12" fillId="8" borderId="20" xfId="0" applyFont="1" applyFill="1" applyBorder="1" applyAlignment="1">
      <alignment horizontal="center" vertical="center" wrapText="1"/>
    </xf>
    <xf numFmtId="14" fontId="11" fillId="7" borderId="56" xfId="0" applyNumberFormat="1" applyFont="1" applyFill="1" applyBorder="1" applyAlignment="1">
      <alignment horizontal="right" vertical="center"/>
    </xf>
    <xf numFmtId="179" fontId="14" fillId="6" borderId="59" xfId="0" applyNumberFormat="1" applyFont="1" applyFill="1" applyBorder="1" applyAlignment="1">
      <alignment horizontal="center" vertical="center" wrapText="1"/>
    </xf>
    <xf numFmtId="0" fontId="14" fillId="6" borderId="50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0" fillId="0" borderId="22" xfId="0" applyBorder="1" applyAlignment="1"/>
    <xf numFmtId="0" fontId="13" fillId="9" borderId="18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12" fillId="8" borderId="28" xfId="0" applyFont="1" applyFill="1" applyBorder="1" applyAlignment="1">
      <alignment horizontal="center" vertical="center" wrapText="1"/>
    </xf>
    <xf numFmtId="0" fontId="0" fillId="0" borderId="96" xfId="0" applyBorder="1" applyAlignment="1"/>
    <xf numFmtId="0" fontId="0" fillId="0" borderId="97" xfId="0" applyBorder="1" applyAlignment="1"/>
    <xf numFmtId="0" fontId="12" fillId="8" borderId="14" xfId="0" applyFont="1" applyFill="1" applyBorder="1" applyAlignment="1">
      <alignment horizontal="center" vertical="center" wrapText="1"/>
    </xf>
    <xf numFmtId="0" fontId="0" fillId="0" borderId="3" xfId="0" applyBorder="1" applyAlignment="1"/>
    <xf numFmtId="3" fontId="13" fillId="9" borderId="29" xfId="0" applyNumberFormat="1" applyFont="1" applyFill="1" applyBorder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3" fillId="9" borderId="43" xfId="0" applyFont="1" applyFill="1" applyBorder="1" applyAlignment="1">
      <alignment horizontal="center" vertical="center" wrapText="1"/>
    </xf>
    <xf numFmtId="0" fontId="0" fillId="0" borderId="36" xfId="0" applyBorder="1" applyAlignment="1"/>
    <xf numFmtId="0" fontId="14" fillId="6" borderId="17" xfId="0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0" fillId="0" borderId="24" xfId="0" applyBorder="1" applyAlignment="1"/>
    <xf numFmtId="0" fontId="13" fillId="0" borderId="36" xfId="0" applyFont="1" applyBorder="1" applyAlignment="1">
      <alignment horizontal="center" vertical="center" wrapText="1"/>
    </xf>
    <xf numFmtId="0" fontId="13" fillId="9" borderId="36" xfId="0" applyFont="1" applyFill="1" applyBorder="1" applyAlignment="1">
      <alignment horizontal="center" vertical="center" wrapText="1"/>
    </xf>
    <xf numFmtId="0" fontId="11" fillId="7" borderId="45" xfId="0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 wrapText="1"/>
    </xf>
    <xf numFmtId="0" fontId="14" fillId="6" borderId="58" xfId="0" applyFont="1" applyFill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center" vertical="center" wrapText="1"/>
    </xf>
    <xf numFmtId="0" fontId="12" fillId="8" borderId="95" xfId="0" applyFont="1" applyFill="1" applyBorder="1" applyAlignment="1">
      <alignment horizontal="center" vertical="center" wrapText="1"/>
    </xf>
    <xf numFmtId="0" fontId="0" fillId="0" borderId="52" xfId="0" applyBorder="1" applyAlignment="1"/>
    <xf numFmtId="0" fontId="14" fillId="6" borderId="59" xfId="0" applyFont="1" applyFill="1" applyBorder="1" applyAlignment="1">
      <alignment horizontal="center" vertical="center" wrapText="1"/>
    </xf>
    <xf numFmtId="0" fontId="14" fillId="6" borderId="71" xfId="0" applyFont="1" applyFill="1" applyBorder="1" applyAlignment="1">
      <alignment horizontal="center" vertical="center" wrapText="1"/>
    </xf>
    <xf numFmtId="0" fontId="0" fillId="0" borderId="99" xfId="0" applyBorder="1" applyAlignment="1"/>
    <xf numFmtId="179" fontId="14" fillId="6" borderId="2" xfId="0" applyNumberFormat="1" applyFont="1" applyFill="1" applyBorder="1" applyAlignment="1">
      <alignment horizontal="center" vertical="center" wrapText="1"/>
    </xf>
    <xf numFmtId="0" fontId="14" fillId="6" borderId="69" xfId="0" applyFont="1" applyFill="1" applyBorder="1" applyAlignment="1">
      <alignment horizontal="center" vertical="center" wrapText="1"/>
    </xf>
    <xf numFmtId="0" fontId="14" fillId="6" borderId="35" xfId="0" applyFont="1" applyFill="1" applyBorder="1" applyAlignment="1">
      <alignment horizontal="center" vertical="center" wrapText="1"/>
    </xf>
    <xf numFmtId="0" fontId="0" fillId="0" borderId="48" xfId="0" applyBorder="1" applyAlignment="1"/>
    <xf numFmtId="0" fontId="8" fillId="2" borderId="44" xfId="0" applyFont="1" applyFill="1" applyBorder="1" applyAlignment="1">
      <alignment horizontal="center" vertical="center"/>
    </xf>
    <xf numFmtId="2" fontId="13" fillId="10" borderId="2" xfId="0" applyNumberFormat="1" applyFont="1" applyFill="1" applyBorder="1" applyAlignment="1">
      <alignment horizontal="center" vertical="center" wrapText="1"/>
    </xf>
    <xf numFmtId="0" fontId="13" fillId="9" borderId="35" xfId="0" applyFont="1" applyFill="1" applyBorder="1" applyAlignment="1">
      <alignment horizontal="center" vertical="center" wrapText="1"/>
    </xf>
    <xf numFmtId="49" fontId="13" fillId="9" borderId="2" xfId="0" applyNumberFormat="1" applyFont="1" applyFill="1" applyBorder="1" applyAlignment="1">
      <alignment horizontal="center" vertical="center" wrapText="1"/>
    </xf>
    <xf numFmtId="176" fontId="13" fillId="9" borderId="2" xfId="0" applyNumberFormat="1" applyFont="1" applyFill="1" applyBorder="1" applyAlignment="1">
      <alignment horizontal="center" vertical="center" wrapText="1"/>
    </xf>
    <xf numFmtId="176" fontId="14" fillId="6" borderId="27" xfId="0" applyNumberFormat="1" applyFont="1" applyFill="1" applyBorder="1" applyAlignment="1">
      <alignment horizontal="center" vertical="center" wrapText="1"/>
    </xf>
    <xf numFmtId="0" fontId="0" fillId="0" borderId="104" xfId="0" applyBorder="1" applyAlignment="1"/>
    <xf numFmtId="3" fontId="13" fillId="9" borderId="2" xfId="0" applyNumberFormat="1" applyFont="1" applyFill="1" applyBorder="1" applyAlignment="1">
      <alignment horizontal="center" vertical="center" wrapText="1"/>
    </xf>
    <xf numFmtId="49" fontId="14" fillId="6" borderId="27" xfId="0" applyNumberFormat="1" applyFont="1" applyFill="1" applyBorder="1" applyAlignment="1">
      <alignment horizontal="center" vertical="center" wrapText="1"/>
    </xf>
    <xf numFmtId="49" fontId="14" fillId="6" borderId="73" xfId="0" applyNumberFormat="1" applyFont="1" applyFill="1" applyBorder="1" applyAlignment="1">
      <alignment horizontal="center" vertical="center" wrapText="1"/>
    </xf>
    <xf numFmtId="0" fontId="0" fillId="0" borderId="100" xfId="0" applyBorder="1" applyAlignment="1"/>
    <xf numFmtId="49" fontId="13" fillId="9" borderId="36" xfId="0" applyNumberFormat="1" applyFont="1" applyFill="1" applyBorder="1" applyAlignment="1">
      <alignment horizontal="center" vertical="center" wrapText="1"/>
    </xf>
    <xf numFmtId="0" fontId="0" fillId="0" borderId="34" xfId="0" applyBorder="1" applyAlignment="1"/>
    <xf numFmtId="0" fontId="13" fillId="10" borderId="2" xfId="0" applyFont="1" applyFill="1" applyBorder="1" applyAlignment="1">
      <alignment horizontal="center" vertical="center" wrapText="1"/>
    </xf>
    <xf numFmtId="0" fontId="13" fillId="10" borderId="29" xfId="0" applyFont="1" applyFill="1" applyBorder="1" applyAlignment="1">
      <alignment horizontal="center" vertical="center" wrapText="1"/>
    </xf>
    <xf numFmtId="3" fontId="13" fillId="6" borderId="27" xfId="0" applyNumberFormat="1" applyFont="1" applyFill="1" applyBorder="1" applyAlignment="1">
      <alignment horizontal="center" vertical="center" wrapText="1"/>
    </xf>
    <xf numFmtId="3" fontId="13" fillId="10" borderId="29" xfId="0" applyNumberFormat="1" applyFont="1" applyFill="1" applyBorder="1" applyAlignment="1">
      <alignment horizontal="center" vertical="center" wrapText="1"/>
    </xf>
    <xf numFmtId="3" fontId="14" fillId="6" borderId="27" xfId="0" applyNumberFormat="1" applyFont="1" applyFill="1" applyBorder="1" applyAlignment="1">
      <alignment horizontal="center" vertical="center" wrapText="1"/>
    </xf>
    <xf numFmtId="0" fontId="14" fillId="6" borderId="38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101" xfId="0" applyBorder="1" applyAlignment="1"/>
    <xf numFmtId="0" fontId="0" fillId="0" borderId="102" xfId="0" applyBorder="1" applyAlignment="1"/>
    <xf numFmtId="0" fontId="0" fillId="0" borderId="103" xfId="0" applyBorder="1" applyAlignment="1"/>
    <xf numFmtId="0" fontId="17" fillId="13" borderId="80" xfId="4" applyFont="1" applyFill="1" applyBorder="1" applyAlignment="1">
      <alignment horizontal="center" vertical="center"/>
    </xf>
    <xf numFmtId="0" fontId="0" fillId="0" borderId="114" xfId="0" applyBorder="1" applyAlignment="1"/>
    <xf numFmtId="177" fontId="17" fillId="0" borderId="80" xfId="0" applyNumberFormat="1" applyFont="1" applyBorder="1" applyAlignment="1">
      <alignment horizontal="center" vertical="center"/>
    </xf>
    <xf numFmtId="3" fontId="0" fillId="0" borderId="82" xfId="0" applyNumberFormat="1" applyBorder="1" applyAlignment="1">
      <alignment horizontal="center" vertical="center"/>
    </xf>
    <xf numFmtId="0" fontId="0" fillId="0" borderId="105" xfId="0" applyBorder="1" applyAlignment="1"/>
    <xf numFmtId="0" fontId="0" fillId="0" borderId="107" xfId="0" applyBorder="1" applyAlignment="1"/>
    <xf numFmtId="0" fontId="17" fillId="0" borderId="83" xfId="0" applyFont="1" applyBorder="1" applyAlignment="1">
      <alignment horizontal="center" vertical="top"/>
    </xf>
    <xf numFmtId="0" fontId="0" fillId="0" borderId="113" xfId="0" applyBorder="1" applyAlignment="1"/>
    <xf numFmtId="3" fontId="19" fillId="0" borderId="82" xfId="0" applyNumberFormat="1" applyFont="1" applyBorder="1" applyAlignment="1">
      <alignment horizontal="center" vertical="center"/>
    </xf>
    <xf numFmtId="0" fontId="20" fillId="13" borderId="79" xfId="4" applyFont="1" applyFill="1" applyBorder="1" applyAlignment="1">
      <alignment horizontal="center" vertical="center"/>
    </xf>
    <xf numFmtId="0" fontId="0" fillId="0" borderId="112" xfId="0" applyBorder="1" applyAlignment="1"/>
    <xf numFmtId="0" fontId="17" fillId="0" borderId="83" xfId="0" applyFont="1" applyBorder="1" applyAlignment="1">
      <alignment horizontal="left" vertical="center" wrapText="1"/>
    </xf>
    <xf numFmtId="0" fontId="17" fillId="0" borderId="80" xfId="0" applyFont="1" applyBorder="1" applyAlignment="1">
      <alignment horizontal="left" vertical="top" wrapText="1"/>
    </xf>
    <xf numFmtId="0" fontId="0" fillId="0" borderId="106" xfId="0" applyBorder="1" applyAlignment="1"/>
    <xf numFmtId="0" fontId="0" fillId="0" borderId="108" xfId="0" applyBorder="1" applyAlignment="1"/>
    <xf numFmtId="0" fontId="0" fillId="0" borderId="109" xfId="0" applyBorder="1" applyAlignment="1"/>
    <xf numFmtId="0" fontId="0" fillId="0" borderId="110" xfId="0" applyBorder="1" applyAlignment="1"/>
    <xf numFmtId="0" fontId="0" fillId="0" borderId="111" xfId="0" applyBorder="1" applyAlignment="1"/>
    <xf numFmtId="0" fontId="17" fillId="0" borderId="5" xfId="0" applyFont="1" applyBorder="1" applyAlignment="1">
      <alignment horizontal="right"/>
    </xf>
    <xf numFmtId="0" fontId="17" fillId="13" borderId="79" xfId="4" applyFont="1" applyFill="1" applyBorder="1" applyAlignment="1">
      <alignment horizontal="center" vertical="center"/>
    </xf>
    <xf numFmtId="0" fontId="0" fillId="0" borderId="115" xfId="0" applyBorder="1" applyAlignment="1"/>
    <xf numFmtId="0" fontId="0" fillId="0" borderId="116" xfId="0" applyBorder="1" applyAlignment="1"/>
    <xf numFmtId="3" fontId="17" fillId="0" borderId="80" xfId="0" applyNumberFormat="1" applyFont="1" applyBorder="1" applyAlignment="1">
      <alignment horizontal="center" vertical="center"/>
    </xf>
    <xf numFmtId="180" fontId="19" fillId="0" borderId="80" xfId="0" applyNumberFormat="1" applyFont="1" applyBorder="1" applyAlignment="1">
      <alignment horizontal="center" vertical="center"/>
    </xf>
    <xf numFmtId="3" fontId="0" fillId="0" borderId="81" xfId="0" applyNumberFormat="1" applyBorder="1" applyAlignment="1">
      <alignment horizontal="center" vertical="center"/>
    </xf>
  </cellXfs>
  <cellStyles count="5">
    <cellStyle name="20% - 강조색1" xfId="4" builtinId="30"/>
    <cellStyle name="백분율" xfId="2" xr:uid="{00000000-0005-0000-0000-000002000000}"/>
    <cellStyle name="쉼표 [0]" xfId="1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RealEstateReport">
  <a:themeElements>
    <a:clrScheme name="RealEstateReport">
      <a:dk1>
        <a:srgbClr val="111827"/>
      </a:dk1>
      <a:lt1>
        <a:srgbClr val="FFFFFF"/>
      </a:lt1>
      <a:dk2>
        <a:srgbClr val="44546A"/>
      </a:dk2>
      <a:lt2>
        <a:srgbClr val="E5E7EB"/>
      </a:lt2>
      <a:accent1>
        <a:srgbClr val="17365D"/>
      </a:accent1>
      <a:accent2>
        <a:srgbClr val="1F4E78"/>
      </a:accent2>
      <a:accent3>
        <a:srgbClr val="D9EAF7"/>
      </a:accent3>
      <a:accent4>
        <a:srgbClr val="F4B183"/>
      </a:accent4>
      <a:accent5>
        <a:srgbClr val="E2F0D9"/>
      </a:accent5>
      <a:accent6>
        <a:srgbClr val="F2F2F2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alEstateRepor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"/>
  <sheetViews>
    <sheetView view="pageBreakPreview" topLeftCell="A10" zoomScaleNormal="115" zoomScaleSheetLayoutView="100" workbookViewId="0">
      <selection activeCell="I33" sqref="I33"/>
    </sheetView>
  </sheetViews>
  <sheetFormatPr defaultRowHeight="16.5" x14ac:dyDescent="0.3"/>
  <cols>
    <col min="1" max="1" width="10" style="72" customWidth="1"/>
    <col min="2" max="3" width="12" style="72" customWidth="1"/>
    <col min="4" max="4" width="16" style="72" customWidth="1"/>
    <col min="5" max="5" width="12" style="72" customWidth="1"/>
    <col min="6" max="6" width="10" style="72" customWidth="1"/>
    <col min="7" max="8" width="12" style="72" customWidth="1"/>
    <col min="9" max="9" width="20" style="72" customWidth="1"/>
    <col min="10" max="10" width="12" style="72" customWidth="1"/>
  </cols>
  <sheetData>
    <row r="1" spans="1:29" ht="27" customHeight="1" thickBot="1" x14ac:dyDescent="0.35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29" x14ac:dyDescent="0.3">
      <c r="A2" s="147" t="s">
        <v>1</v>
      </c>
      <c r="B2" s="148"/>
      <c r="C2" s="61"/>
      <c r="D2" s="61"/>
      <c r="E2" s="61"/>
      <c r="F2" s="61"/>
      <c r="G2" s="61"/>
      <c r="H2" s="61"/>
      <c r="I2" s="61"/>
      <c r="J2" s="62"/>
    </row>
    <row r="3" spans="1:29" x14ac:dyDescent="0.3">
      <c r="A3" s="73" t="s">
        <v>2</v>
      </c>
      <c r="B3" s="131" t="s">
        <v>3</v>
      </c>
      <c r="C3" s="143"/>
      <c r="D3" s="143"/>
      <c r="E3" s="143"/>
      <c r="F3" s="143"/>
      <c r="G3" s="132"/>
      <c r="H3" s="137" t="s">
        <v>4</v>
      </c>
      <c r="I3" s="143"/>
      <c r="J3" s="138"/>
    </row>
    <row r="4" spans="1:29" ht="17.25" customHeight="1" thickBot="1" x14ac:dyDescent="0.35">
      <c r="A4" s="29" t="s">
        <v>5</v>
      </c>
      <c r="B4" s="155" t="s">
        <v>6</v>
      </c>
      <c r="C4" s="119"/>
      <c r="D4" s="119"/>
      <c r="E4" s="119"/>
      <c r="F4" s="119"/>
      <c r="G4" s="156"/>
      <c r="H4" s="171"/>
      <c r="I4" s="119"/>
      <c r="J4" s="163"/>
    </row>
    <row r="5" spans="1:29" s="88" customFormat="1" ht="17.25" customHeight="1" thickBot="1" x14ac:dyDescent="0.35">
      <c r="A5" s="70"/>
      <c r="B5" s="70"/>
      <c r="C5" s="70"/>
      <c r="D5" s="70"/>
      <c r="E5" s="70"/>
      <c r="F5" s="70"/>
      <c r="G5" s="70"/>
      <c r="H5" s="70"/>
      <c r="I5" s="70"/>
      <c r="J5" s="70"/>
    </row>
    <row r="6" spans="1:29" x14ac:dyDescent="0.3">
      <c r="A6" s="150" t="s">
        <v>7</v>
      </c>
      <c r="B6" s="123"/>
      <c r="C6" s="123"/>
      <c r="D6" s="123"/>
      <c r="E6" s="123"/>
      <c r="F6" s="123"/>
      <c r="G6" s="123"/>
      <c r="H6" s="123"/>
      <c r="I6" s="123"/>
      <c r="J6" s="151"/>
    </row>
    <row r="7" spans="1:29" x14ac:dyDescent="0.3">
      <c r="A7" s="134" t="s">
        <v>8</v>
      </c>
      <c r="B7" s="135"/>
      <c r="C7" s="136" t="s">
        <v>9</v>
      </c>
      <c r="D7" s="135"/>
      <c r="E7" s="136" t="s">
        <v>10</v>
      </c>
      <c r="F7" s="135"/>
      <c r="G7" s="136" t="s">
        <v>11</v>
      </c>
      <c r="H7" s="135"/>
      <c r="I7" s="136" t="s">
        <v>12</v>
      </c>
      <c r="J7" s="135"/>
    </row>
    <row r="8" spans="1:29" s="88" customFormat="1" ht="30" customHeight="1" thickBot="1" x14ac:dyDescent="0.35">
      <c r="A8" s="164">
        <v>23000000000</v>
      </c>
      <c r="B8" s="126"/>
      <c r="C8" s="130">
        <f>A8*1.2</f>
        <v>27600000000</v>
      </c>
      <c r="D8" s="126"/>
      <c r="E8" s="130">
        <v>30174500000</v>
      </c>
      <c r="F8" s="126"/>
      <c r="G8" s="125">
        <f>A8/E8</f>
        <v>0.76223301131750321</v>
      </c>
      <c r="H8" s="126"/>
      <c r="I8" s="160" t="s">
        <v>13</v>
      </c>
      <c r="J8" s="161"/>
    </row>
    <row r="9" spans="1:29" s="88" customFormat="1" ht="17.25" customHeight="1" thickBot="1" x14ac:dyDescent="0.35">
      <c r="A9" s="70"/>
      <c r="B9" s="70"/>
      <c r="C9" s="70"/>
      <c r="D9" s="70"/>
      <c r="E9" s="70"/>
      <c r="F9" s="70"/>
      <c r="G9" s="70"/>
      <c r="H9" s="70"/>
      <c r="I9" s="70"/>
      <c r="J9" s="70"/>
    </row>
    <row r="10" spans="1:29" x14ac:dyDescent="0.3">
      <c r="A10" s="147" t="s">
        <v>14</v>
      </c>
      <c r="B10" s="148"/>
      <c r="C10" s="61"/>
      <c r="D10" s="61"/>
      <c r="E10" s="61"/>
      <c r="F10" s="61"/>
      <c r="G10" s="61"/>
      <c r="H10" s="61"/>
      <c r="I10" s="61"/>
      <c r="J10" s="30" t="s">
        <v>15</v>
      </c>
    </row>
    <row r="11" spans="1:29" x14ac:dyDescent="0.3">
      <c r="A11" s="139" t="s">
        <v>16</v>
      </c>
      <c r="B11" s="131" t="s">
        <v>17</v>
      </c>
      <c r="C11" s="132"/>
      <c r="D11" s="131" t="s">
        <v>18</v>
      </c>
      <c r="E11" s="152"/>
      <c r="F11" s="131" t="s">
        <v>19</v>
      </c>
      <c r="G11" s="131" t="s">
        <v>20</v>
      </c>
      <c r="H11" s="152"/>
      <c r="I11" s="137" t="s">
        <v>21</v>
      </c>
      <c r="J11" s="157"/>
    </row>
    <row r="12" spans="1:29" x14ac:dyDescent="0.3">
      <c r="A12" s="172"/>
      <c r="B12" s="68" t="s">
        <v>22</v>
      </c>
      <c r="C12" s="68" t="s">
        <v>23</v>
      </c>
      <c r="D12" s="153"/>
      <c r="E12" s="154"/>
      <c r="F12" s="165"/>
      <c r="G12" s="153"/>
      <c r="H12" s="154"/>
      <c r="I12" s="153"/>
      <c r="J12" s="158"/>
    </row>
    <row r="13" spans="1:29" x14ac:dyDescent="0.3">
      <c r="A13" s="31" t="s">
        <v>24</v>
      </c>
      <c r="B13" s="32">
        <v>2081</v>
      </c>
      <c r="C13" s="32">
        <f>B13*0.3025</f>
        <v>629.50249999999994</v>
      </c>
      <c r="D13" s="116">
        <v>30174500000</v>
      </c>
      <c r="E13" s="117"/>
      <c r="F13" s="94">
        <f>IFERROR(D13/$D$14,0)</f>
        <v>1</v>
      </c>
      <c r="G13" s="116">
        <f>D13/B13</f>
        <v>14500000</v>
      </c>
      <c r="H13" s="117"/>
      <c r="I13" s="116">
        <f>D13/C13</f>
        <v>47933884.297520667</v>
      </c>
      <c r="J13" s="117"/>
    </row>
    <row r="14" spans="1:29" ht="17.25" customHeight="1" thickBot="1" x14ac:dyDescent="0.35">
      <c r="A14" s="33" t="s">
        <v>25</v>
      </c>
      <c r="B14" s="34">
        <f>SUM(B13:B13)</f>
        <v>2081</v>
      </c>
      <c r="C14" s="34">
        <f>SUM(C13:C13)</f>
        <v>629.50249999999994</v>
      </c>
      <c r="D14" s="159">
        <f>SUM(D13:E13)</f>
        <v>30174500000</v>
      </c>
      <c r="E14" s="156"/>
      <c r="F14" s="95">
        <f>SUM(F13:F13)</f>
        <v>1</v>
      </c>
      <c r="G14" s="159"/>
      <c r="H14" s="156"/>
      <c r="I14" s="162"/>
      <c r="J14" s="163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</row>
    <row r="15" spans="1:29" ht="17.25" customHeight="1" thickBot="1" x14ac:dyDescent="0.35">
      <c r="A15" s="67"/>
      <c r="D15" s="67"/>
      <c r="E15" s="67"/>
      <c r="F15" s="67"/>
      <c r="I15" s="67"/>
      <c r="J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</row>
    <row r="16" spans="1:29" x14ac:dyDescent="0.3">
      <c r="A16" s="147" t="s">
        <v>26</v>
      </c>
      <c r="B16" s="148"/>
      <c r="C16" s="61"/>
      <c r="D16" s="61"/>
      <c r="E16" s="61"/>
      <c r="F16" s="61"/>
      <c r="G16" s="61"/>
      <c r="H16" s="61"/>
      <c r="I16" s="61"/>
      <c r="J16" s="62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</row>
    <row r="17" spans="1:29" ht="12.4" customHeight="1" x14ac:dyDescent="0.3">
      <c r="A17" s="139" t="s">
        <v>27</v>
      </c>
      <c r="B17" s="132"/>
      <c r="C17" s="69" t="s">
        <v>28</v>
      </c>
      <c r="D17" s="131" t="s">
        <v>29</v>
      </c>
      <c r="E17" s="132"/>
      <c r="F17" s="131" t="s">
        <v>30</v>
      </c>
      <c r="G17" s="132"/>
      <c r="H17" s="69" t="s">
        <v>31</v>
      </c>
      <c r="I17" s="137" t="s">
        <v>12</v>
      </c>
      <c r="J17" s="138"/>
      <c r="P17" s="67"/>
      <c r="Q17" s="6"/>
      <c r="R17" s="6"/>
      <c r="S17" s="6"/>
      <c r="T17" s="6"/>
      <c r="U17" s="6"/>
      <c r="V17" s="6"/>
      <c r="W17" s="6"/>
      <c r="X17" s="6"/>
      <c r="Y17" s="6"/>
      <c r="Z17" s="6"/>
      <c r="AA17" s="67"/>
      <c r="AB17" s="67"/>
      <c r="AC17" s="67"/>
    </row>
    <row r="18" spans="1:29" ht="17.25" customHeight="1" thickBot="1" x14ac:dyDescent="0.35">
      <c r="A18" s="118"/>
      <c r="B18" s="119"/>
      <c r="C18" s="119"/>
      <c r="D18" s="119"/>
      <c r="E18" s="119"/>
      <c r="F18" s="119"/>
      <c r="G18" s="119"/>
      <c r="H18" s="119"/>
      <c r="I18" s="119"/>
      <c r="J18" s="120"/>
      <c r="P18" s="67"/>
      <c r="Q18" s="6"/>
      <c r="R18" s="6"/>
      <c r="S18" s="6"/>
      <c r="T18" s="6"/>
      <c r="U18" s="6"/>
      <c r="V18" s="6"/>
      <c r="W18" s="6"/>
      <c r="X18" s="6"/>
      <c r="Y18" s="6"/>
      <c r="Z18" s="6"/>
      <c r="AA18" s="67"/>
      <c r="AB18" s="67"/>
      <c r="AC18" s="67"/>
    </row>
    <row r="19" spans="1:29" ht="17.25" customHeight="1" thickBo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P19" s="67"/>
      <c r="Q19" s="8"/>
      <c r="R19" s="8"/>
      <c r="S19" s="96"/>
      <c r="T19" s="96"/>
      <c r="U19" s="10"/>
      <c r="V19" s="11"/>
      <c r="W19" s="1"/>
      <c r="X19" s="97"/>
      <c r="Y19" s="2"/>
      <c r="Z19" s="8"/>
      <c r="AA19" s="67"/>
      <c r="AB19" s="67"/>
      <c r="AC19" s="67"/>
    </row>
    <row r="20" spans="1:29" x14ac:dyDescent="0.3">
      <c r="A20" s="147" t="s">
        <v>32</v>
      </c>
      <c r="B20" s="148"/>
      <c r="C20" s="61"/>
      <c r="D20" s="61"/>
      <c r="E20" s="61"/>
      <c r="F20" s="61"/>
      <c r="G20" s="61"/>
      <c r="H20" s="61"/>
      <c r="I20" s="61"/>
      <c r="J20" s="62"/>
      <c r="P20" s="67"/>
      <c r="Q20" s="6"/>
      <c r="R20" s="6"/>
      <c r="S20" s="6"/>
      <c r="T20" s="6"/>
      <c r="U20" s="6"/>
      <c r="V20" s="6"/>
      <c r="W20" s="6"/>
      <c r="X20" s="6"/>
      <c r="Y20" s="6"/>
      <c r="Z20" s="6"/>
      <c r="AA20" s="67"/>
      <c r="AB20" s="67"/>
      <c r="AC20" s="67"/>
    </row>
    <row r="21" spans="1:29" x14ac:dyDescent="0.3">
      <c r="A21" s="139" t="s">
        <v>33</v>
      </c>
      <c r="B21" s="132"/>
      <c r="C21" s="69" t="s">
        <v>34</v>
      </c>
      <c r="D21" s="131" t="s">
        <v>35</v>
      </c>
      <c r="E21" s="132"/>
      <c r="F21" s="131" t="s">
        <v>36</v>
      </c>
      <c r="G21" s="132"/>
      <c r="H21" s="131" t="s">
        <v>37</v>
      </c>
      <c r="I21" s="132"/>
      <c r="J21" s="35" t="s">
        <v>31</v>
      </c>
      <c r="N21" s="67"/>
      <c r="O21" s="67"/>
      <c r="P21" s="67"/>
      <c r="Q21" s="67"/>
      <c r="R21" s="67"/>
      <c r="S21" s="67"/>
      <c r="T21" s="6"/>
      <c r="U21" s="6"/>
      <c r="V21" s="6"/>
      <c r="W21" s="6"/>
      <c r="X21" s="6"/>
      <c r="Y21" s="6"/>
      <c r="Z21" s="6"/>
      <c r="AA21" s="67"/>
      <c r="AB21" s="67"/>
      <c r="AC21" s="67"/>
    </row>
    <row r="22" spans="1:29" ht="17.25" customHeight="1" thickBot="1" x14ac:dyDescent="0.35">
      <c r="A22" s="118"/>
      <c r="B22" s="119"/>
      <c r="C22" s="119"/>
      <c r="D22" s="119"/>
      <c r="E22" s="119"/>
      <c r="F22" s="119"/>
      <c r="G22" s="119"/>
      <c r="H22" s="119"/>
      <c r="I22" s="119"/>
      <c r="J22" s="120"/>
      <c r="N22" s="67"/>
      <c r="O22" s="67"/>
      <c r="P22" s="67"/>
      <c r="Q22" s="67"/>
      <c r="R22" s="67"/>
      <c r="S22" s="67"/>
      <c r="T22" s="8"/>
      <c r="U22" s="8"/>
      <c r="V22" s="8"/>
      <c r="W22" s="8"/>
      <c r="X22" s="8"/>
      <c r="Y22" s="8"/>
      <c r="Z22" s="8"/>
      <c r="AA22" s="67"/>
      <c r="AB22" s="67"/>
      <c r="AC22" s="67"/>
    </row>
    <row r="23" spans="1:29" ht="17.25" customHeight="1" thickBot="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N23" s="12"/>
      <c r="O23" s="13"/>
      <c r="P23" s="144"/>
      <c r="Q23" s="115"/>
      <c r="T23" s="7"/>
      <c r="U23" s="9"/>
      <c r="V23" s="9"/>
      <c r="W23" s="7"/>
      <c r="X23" s="7"/>
      <c r="Y23" s="9"/>
      <c r="Z23" s="9"/>
      <c r="AA23" s="67"/>
      <c r="AB23" s="67"/>
      <c r="AC23" s="67"/>
    </row>
    <row r="24" spans="1:29" x14ac:dyDescent="0.3">
      <c r="A24" s="140" t="s">
        <v>38</v>
      </c>
      <c r="B24" s="141"/>
      <c r="C24" s="141"/>
      <c r="D24" s="141"/>
      <c r="E24" s="141"/>
      <c r="F24" s="141"/>
      <c r="G24" s="141"/>
      <c r="H24" s="141"/>
      <c r="I24" s="141"/>
      <c r="J24" s="142"/>
      <c r="N24" s="12"/>
      <c r="O24" s="13"/>
      <c r="P24" s="144"/>
      <c r="Q24" s="115"/>
      <c r="T24" s="8"/>
      <c r="U24" s="10"/>
      <c r="V24" s="11"/>
      <c r="W24" s="8"/>
      <c r="X24" s="8"/>
      <c r="Y24" s="8"/>
      <c r="Z24" s="8"/>
      <c r="AA24" s="67"/>
      <c r="AB24" s="67"/>
      <c r="AC24" s="67"/>
    </row>
    <row r="25" spans="1:29" x14ac:dyDescent="0.3">
      <c r="A25" s="139" t="s">
        <v>39</v>
      </c>
      <c r="B25" s="132"/>
      <c r="C25" s="131" t="s">
        <v>40</v>
      </c>
      <c r="D25" s="132"/>
      <c r="E25" s="131" t="s">
        <v>41</v>
      </c>
      <c r="F25" s="132"/>
      <c r="G25" s="131" t="s">
        <v>42</v>
      </c>
      <c r="H25" s="132"/>
      <c r="I25" s="137" t="s">
        <v>43</v>
      </c>
      <c r="J25" s="138"/>
      <c r="N25" s="12"/>
      <c r="O25" s="13"/>
      <c r="P25" s="114"/>
      <c r="Q25" s="115"/>
      <c r="R25" s="4"/>
      <c r="T25" s="8"/>
      <c r="U25" s="10"/>
      <c r="V25" s="11"/>
      <c r="W25" s="8"/>
      <c r="X25" s="8"/>
      <c r="Y25" s="8"/>
      <c r="Z25" s="8"/>
      <c r="AA25" s="67"/>
      <c r="AB25" s="67"/>
      <c r="AC25" s="67"/>
    </row>
    <row r="26" spans="1:29" x14ac:dyDescent="0.3">
      <c r="A26" s="149" t="s">
        <v>44</v>
      </c>
      <c r="B26" s="117"/>
      <c r="C26" s="127" t="s">
        <v>45</v>
      </c>
      <c r="D26" s="117"/>
      <c r="E26" s="166" t="s">
        <v>46</v>
      </c>
      <c r="F26" s="167"/>
      <c r="G26" s="166" t="s">
        <v>47</v>
      </c>
      <c r="H26" s="167"/>
      <c r="I26" s="128" t="s">
        <v>48</v>
      </c>
      <c r="J26" s="129"/>
      <c r="N26" s="12"/>
      <c r="O26" s="13"/>
      <c r="P26" s="114"/>
      <c r="Q26" s="115"/>
      <c r="R26" s="4"/>
      <c r="T26" s="8"/>
      <c r="U26" s="10"/>
      <c r="V26" s="11"/>
      <c r="W26" s="8"/>
      <c r="X26" s="8"/>
      <c r="Y26" s="8"/>
      <c r="Z26" s="8"/>
      <c r="AA26" s="67"/>
      <c r="AB26" s="67"/>
      <c r="AC26" s="67"/>
    </row>
    <row r="27" spans="1:29" x14ac:dyDescent="0.3">
      <c r="A27" s="75" t="s">
        <v>49</v>
      </c>
      <c r="B27" s="68" t="s">
        <v>50</v>
      </c>
      <c r="C27" s="127" t="s">
        <v>51</v>
      </c>
      <c r="D27" s="117"/>
      <c r="E27" s="127" t="s">
        <v>52</v>
      </c>
      <c r="F27" s="117"/>
      <c r="G27" s="68" t="s">
        <v>53</v>
      </c>
      <c r="H27" s="68" t="s">
        <v>54</v>
      </c>
      <c r="I27" s="68" t="s">
        <v>55</v>
      </c>
      <c r="J27" s="36" t="s">
        <v>56</v>
      </c>
      <c r="K27" s="14"/>
      <c r="N27" s="67"/>
      <c r="O27" s="67"/>
      <c r="P27" s="67"/>
      <c r="Q27" s="11"/>
      <c r="R27" s="3"/>
      <c r="S27" s="97"/>
      <c r="T27" s="97"/>
      <c r="U27" s="10"/>
      <c r="V27" s="11"/>
      <c r="W27" s="97"/>
      <c r="X27" s="97"/>
      <c r="Y27" s="2"/>
      <c r="Z27" s="8"/>
      <c r="AA27" s="67"/>
      <c r="AB27" s="67"/>
      <c r="AC27" s="67"/>
    </row>
    <row r="28" spans="1:29" s="88" customFormat="1" x14ac:dyDescent="0.3">
      <c r="A28" s="31" t="s">
        <v>57</v>
      </c>
      <c r="B28" s="37">
        <v>45944</v>
      </c>
      <c r="C28" s="116">
        <v>33022900000</v>
      </c>
      <c r="D28" s="117"/>
      <c r="E28" s="121" t="str">
        <f t="shared" ref="E28:E33" si="0">IFERROR(TEXT(C28/$D$14,"0%"),"")</f>
        <v>109%</v>
      </c>
      <c r="F28" s="117"/>
      <c r="G28" s="74" t="s">
        <v>58</v>
      </c>
      <c r="H28" s="71">
        <f t="shared" ref="H28:H33" si="1">ROUND(IFERROR(C28*$F$13/$C$13,0),0)</f>
        <v>52458727</v>
      </c>
      <c r="I28" s="74" t="s">
        <v>59</v>
      </c>
      <c r="J28" s="66" t="s">
        <v>60</v>
      </c>
      <c r="K28" s="87"/>
      <c r="Q28" s="89"/>
      <c r="R28" s="90"/>
      <c r="S28" s="98"/>
      <c r="T28" s="98"/>
      <c r="U28" s="91"/>
      <c r="V28" s="89"/>
      <c r="W28" s="98"/>
      <c r="X28" s="98"/>
      <c r="Y28" s="92"/>
      <c r="Z28" s="93"/>
    </row>
    <row r="29" spans="1:29" s="88" customFormat="1" x14ac:dyDescent="0.3">
      <c r="A29" s="31" t="s">
        <v>61</v>
      </c>
      <c r="B29" s="37">
        <v>45946</v>
      </c>
      <c r="C29" s="116">
        <v>29720600000</v>
      </c>
      <c r="D29" s="117"/>
      <c r="E29" s="121" t="str">
        <f t="shared" si="0"/>
        <v>98%</v>
      </c>
      <c r="F29" s="117"/>
      <c r="G29" s="38">
        <v>0.1</v>
      </c>
      <c r="H29" s="71">
        <f t="shared" si="1"/>
        <v>47212839</v>
      </c>
      <c r="I29" s="74" t="s">
        <v>59</v>
      </c>
      <c r="J29" s="66" t="s">
        <v>60</v>
      </c>
      <c r="K29" s="87"/>
      <c r="Q29" s="89"/>
      <c r="R29" s="90"/>
      <c r="S29" s="98"/>
      <c r="T29" s="98"/>
      <c r="U29" s="91"/>
      <c r="V29" s="89"/>
      <c r="W29" s="98"/>
      <c r="X29" s="98"/>
      <c r="Y29" s="92"/>
      <c r="Z29" s="93"/>
    </row>
    <row r="30" spans="1:29" s="88" customFormat="1" x14ac:dyDescent="0.3">
      <c r="A30" s="31" t="s">
        <v>62</v>
      </c>
      <c r="B30" s="37">
        <v>45951</v>
      </c>
      <c r="C30" s="116">
        <v>26748500000</v>
      </c>
      <c r="D30" s="117"/>
      <c r="E30" s="121" t="str">
        <f t="shared" si="0"/>
        <v>89%</v>
      </c>
      <c r="F30" s="117"/>
      <c r="G30" s="38">
        <v>0.1</v>
      </c>
      <c r="H30" s="71">
        <f t="shared" si="1"/>
        <v>42491491</v>
      </c>
      <c r="I30" s="74" t="s">
        <v>59</v>
      </c>
      <c r="J30" s="66" t="s">
        <v>60</v>
      </c>
      <c r="K30" s="87"/>
      <c r="Q30" s="89"/>
      <c r="R30" s="90"/>
      <c r="S30" s="98"/>
      <c r="T30" s="98"/>
      <c r="U30" s="91"/>
      <c r="V30" s="89"/>
      <c r="W30" s="98"/>
      <c r="X30" s="98"/>
      <c r="Y30" s="92"/>
      <c r="Z30" s="93"/>
    </row>
    <row r="31" spans="1:29" s="88" customFormat="1" x14ac:dyDescent="0.3">
      <c r="A31" s="31" t="s">
        <v>63</v>
      </c>
      <c r="B31" s="37">
        <v>45953</v>
      </c>
      <c r="C31" s="116">
        <v>24073600000</v>
      </c>
      <c r="D31" s="117"/>
      <c r="E31" s="121" t="str">
        <f t="shared" si="0"/>
        <v>80%</v>
      </c>
      <c r="F31" s="117"/>
      <c r="G31" s="38">
        <v>0.1</v>
      </c>
      <c r="H31" s="71">
        <f t="shared" si="1"/>
        <v>38242263</v>
      </c>
      <c r="I31" s="74" t="s">
        <v>59</v>
      </c>
      <c r="J31" s="66" t="s">
        <v>60</v>
      </c>
      <c r="K31" s="87"/>
      <c r="Q31" s="89"/>
      <c r="R31" s="90"/>
      <c r="S31" s="98"/>
      <c r="T31" s="98"/>
      <c r="U31" s="91"/>
      <c r="V31" s="89"/>
      <c r="W31" s="98"/>
      <c r="X31" s="98"/>
      <c r="Y31" s="92"/>
      <c r="Z31" s="93"/>
    </row>
    <row r="32" spans="1:29" x14ac:dyDescent="0.3">
      <c r="A32" s="31" t="s">
        <v>64</v>
      </c>
      <c r="B32" s="37">
        <v>45958</v>
      </c>
      <c r="C32" s="116">
        <v>21666200000</v>
      </c>
      <c r="D32" s="117"/>
      <c r="E32" s="121" t="str">
        <f t="shared" si="0"/>
        <v>72%</v>
      </c>
      <c r="F32" s="117"/>
      <c r="G32" s="38">
        <v>0.1</v>
      </c>
      <c r="H32" s="71">
        <f t="shared" si="1"/>
        <v>34417973</v>
      </c>
      <c r="I32" s="74" t="s">
        <v>59</v>
      </c>
      <c r="J32" s="66" t="s">
        <v>60</v>
      </c>
      <c r="K32" s="67"/>
      <c r="N32" s="67"/>
      <c r="O32" s="67"/>
      <c r="P32" s="67"/>
      <c r="Q32" s="11"/>
      <c r="R32" s="3"/>
      <c r="S32" s="97"/>
      <c r="T32" s="97"/>
      <c r="U32" s="10"/>
      <c r="V32" s="11"/>
      <c r="W32" s="97"/>
      <c r="X32" s="97"/>
      <c r="Y32" s="2"/>
      <c r="Z32" s="8"/>
      <c r="AA32" s="67"/>
      <c r="AB32" s="67"/>
      <c r="AC32" s="67"/>
    </row>
    <row r="33" spans="1:29" ht="27" customHeight="1" x14ac:dyDescent="0.3">
      <c r="A33" s="31" t="s">
        <v>65</v>
      </c>
      <c r="B33" s="74" t="s">
        <v>66</v>
      </c>
      <c r="C33" s="116">
        <v>19500000000</v>
      </c>
      <c r="D33" s="117"/>
      <c r="E33" s="121" t="str">
        <f t="shared" si="0"/>
        <v>65%</v>
      </c>
      <c r="F33" s="117"/>
      <c r="G33" s="38">
        <v>0.1</v>
      </c>
      <c r="H33" s="71">
        <f t="shared" si="1"/>
        <v>30976843</v>
      </c>
      <c r="I33" s="74" t="s">
        <v>59</v>
      </c>
      <c r="J33" s="66" t="s">
        <v>67</v>
      </c>
      <c r="K33" s="67"/>
      <c r="P33" s="67"/>
      <c r="Q33" s="6"/>
      <c r="R33" s="6"/>
      <c r="S33" s="6"/>
      <c r="T33" s="6"/>
      <c r="U33" s="6"/>
      <c r="V33" s="6"/>
      <c r="W33" s="6"/>
      <c r="X33" s="6"/>
      <c r="Y33" s="6"/>
      <c r="Z33" s="6"/>
      <c r="AA33" s="67"/>
      <c r="AB33" s="67"/>
      <c r="AC33" s="67"/>
    </row>
    <row r="34" spans="1:29" ht="17.25" customHeight="1" thickBot="1" x14ac:dyDescent="0.35">
      <c r="A34" s="5"/>
      <c r="B34" s="5"/>
      <c r="C34" s="5"/>
      <c r="D34" s="5"/>
      <c r="E34" s="5"/>
      <c r="F34" s="5"/>
      <c r="G34" s="5"/>
      <c r="H34" s="5"/>
      <c r="I34" s="5"/>
      <c r="J34" s="133"/>
      <c r="K34" s="115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</row>
    <row r="35" spans="1:29" x14ac:dyDescent="0.3">
      <c r="A35" s="122" t="s">
        <v>68</v>
      </c>
      <c r="B35" s="123"/>
      <c r="C35" s="123"/>
      <c r="D35" s="123"/>
      <c r="E35" s="123"/>
      <c r="F35" s="123"/>
      <c r="G35" s="123"/>
      <c r="H35" s="123"/>
      <c r="I35" s="123"/>
      <c r="J35" s="124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</row>
    <row r="36" spans="1:29" ht="17.45" customHeight="1" x14ac:dyDescent="0.3">
      <c r="A36" s="168" t="s">
        <v>69</v>
      </c>
      <c r="B36" s="169"/>
      <c r="C36" s="169"/>
      <c r="D36" s="169"/>
      <c r="E36" s="169"/>
      <c r="F36" s="169"/>
      <c r="G36" s="169"/>
      <c r="H36" s="169"/>
      <c r="I36" s="169"/>
      <c r="J36" s="169"/>
    </row>
    <row r="37" spans="1:29" x14ac:dyDescent="0.3">
      <c r="A37" s="146"/>
      <c r="B37" s="146"/>
      <c r="C37" s="146"/>
      <c r="D37" s="146"/>
      <c r="E37" s="146"/>
      <c r="F37" s="146"/>
      <c r="G37" s="146"/>
      <c r="H37" s="146"/>
      <c r="I37" s="146"/>
      <c r="J37" s="146"/>
    </row>
    <row r="38" spans="1:29" x14ac:dyDescent="0.3">
      <c r="A38" s="146"/>
      <c r="B38" s="146"/>
      <c r="C38" s="146"/>
      <c r="D38" s="146"/>
      <c r="E38" s="146"/>
      <c r="F38" s="146"/>
      <c r="G38" s="146"/>
      <c r="H38" s="146"/>
      <c r="I38" s="146"/>
      <c r="J38" s="146"/>
    </row>
    <row r="39" spans="1:29" s="88" customFormat="1" x14ac:dyDescent="0.3">
      <c r="A39" s="170"/>
      <c r="B39" s="170"/>
      <c r="C39" s="170"/>
      <c r="D39" s="170"/>
      <c r="E39" s="170"/>
      <c r="F39" s="170"/>
      <c r="G39" s="170"/>
      <c r="H39" s="170"/>
      <c r="I39" s="170"/>
      <c r="J39" s="170"/>
    </row>
    <row r="40" spans="1:29" x14ac:dyDescent="0.3">
      <c r="A40" s="146"/>
      <c r="B40" s="146"/>
      <c r="C40" s="146"/>
      <c r="D40" s="146"/>
      <c r="E40" s="146"/>
      <c r="F40" s="146"/>
      <c r="G40" s="146"/>
      <c r="H40" s="146"/>
      <c r="I40" s="146"/>
      <c r="J40" s="146"/>
    </row>
    <row r="41" spans="1:29" x14ac:dyDescent="0.3">
      <c r="A41" s="146"/>
      <c r="B41" s="146"/>
      <c r="C41" s="146"/>
      <c r="D41" s="146"/>
      <c r="E41" s="146"/>
      <c r="F41" s="146"/>
      <c r="G41" s="146"/>
      <c r="H41" s="146"/>
      <c r="I41" s="146"/>
      <c r="J41" s="146"/>
    </row>
    <row r="42" spans="1:29" x14ac:dyDescent="0.3">
      <c r="A42" s="146"/>
      <c r="B42" s="146"/>
      <c r="C42" s="146"/>
      <c r="D42" s="146"/>
      <c r="E42" s="146"/>
      <c r="F42" s="146"/>
      <c r="G42" s="146"/>
      <c r="H42" s="146"/>
      <c r="I42" s="146"/>
      <c r="J42" s="146"/>
    </row>
  </sheetData>
  <mergeCells count="74">
    <mergeCell ref="A36:J42"/>
    <mergeCell ref="B3:G3"/>
    <mergeCell ref="G26:H26"/>
    <mergeCell ref="A20:B20"/>
    <mergeCell ref="C32:D32"/>
    <mergeCell ref="C7:D7"/>
    <mergeCell ref="E32:F32"/>
    <mergeCell ref="E7:F7"/>
    <mergeCell ref="E25:F25"/>
    <mergeCell ref="A18:J18"/>
    <mergeCell ref="G25:H25"/>
    <mergeCell ref="D11:E12"/>
    <mergeCell ref="H4:J4"/>
    <mergeCell ref="A10:B10"/>
    <mergeCell ref="D14:E14"/>
    <mergeCell ref="C28:D28"/>
    <mergeCell ref="A1:J1"/>
    <mergeCell ref="A21:B21"/>
    <mergeCell ref="A2:B2"/>
    <mergeCell ref="E30:F30"/>
    <mergeCell ref="A26:B26"/>
    <mergeCell ref="A6:J6"/>
    <mergeCell ref="C27:D27"/>
    <mergeCell ref="G11:H12"/>
    <mergeCell ref="E27:F27"/>
    <mergeCell ref="B4:G4"/>
    <mergeCell ref="I11:J12"/>
    <mergeCell ref="G14:H14"/>
    <mergeCell ref="A16:B16"/>
    <mergeCell ref="A17:B17"/>
    <mergeCell ref="I8:J8"/>
    <mergeCell ref="I14:J14"/>
    <mergeCell ref="H3:J3"/>
    <mergeCell ref="C31:D31"/>
    <mergeCell ref="D17:E17"/>
    <mergeCell ref="E31:F31"/>
    <mergeCell ref="F17:G17"/>
    <mergeCell ref="I17:J17"/>
    <mergeCell ref="F11:F12"/>
    <mergeCell ref="C8:D8"/>
    <mergeCell ref="E26:F26"/>
    <mergeCell ref="I13:J13"/>
    <mergeCell ref="A7:B7"/>
    <mergeCell ref="E29:F29"/>
    <mergeCell ref="G7:H7"/>
    <mergeCell ref="B11:C11"/>
    <mergeCell ref="I7:J7"/>
    <mergeCell ref="D13:E13"/>
    <mergeCell ref="C25:D25"/>
    <mergeCell ref="I25:J25"/>
    <mergeCell ref="A25:B25"/>
    <mergeCell ref="E28:F28"/>
    <mergeCell ref="A24:J24"/>
    <mergeCell ref="G13:H13"/>
    <mergeCell ref="A8:B8"/>
    <mergeCell ref="A11:A12"/>
    <mergeCell ref="A35:J35"/>
    <mergeCell ref="P25:Q25"/>
    <mergeCell ref="G8:H8"/>
    <mergeCell ref="C26:D26"/>
    <mergeCell ref="I26:J26"/>
    <mergeCell ref="E8:F8"/>
    <mergeCell ref="D21:E21"/>
    <mergeCell ref="F21:G21"/>
    <mergeCell ref="H21:I21"/>
    <mergeCell ref="C29:D29"/>
    <mergeCell ref="J34:K34"/>
    <mergeCell ref="P23:Q23"/>
    <mergeCell ref="P24:Q24"/>
    <mergeCell ref="P26:Q26"/>
    <mergeCell ref="C30:D30"/>
    <mergeCell ref="A22:J22"/>
    <mergeCell ref="C33:D33"/>
    <mergeCell ref="E33:F33"/>
  </mergeCells>
  <phoneticPr fontId="7" type="noConversion"/>
  <printOptions horizontalCentered="1" verticalCentered="1"/>
  <pageMargins left="0.70866141732283472" right="0.70866141732283472" top="0.74803149606299213" bottom="0.74803149606299213" header="0.31496062992125978" footer="0.31496062992125978"/>
  <pageSetup paperSize="9" scale="7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tabSelected="1" view="pageBreakPreview" topLeftCell="A19" zoomScale="115" zoomScaleNormal="100" zoomScaleSheetLayoutView="115" workbookViewId="0">
      <selection activeCell="K30" sqref="K30:L30"/>
    </sheetView>
  </sheetViews>
  <sheetFormatPr defaultRowHeight="16.5" x14ac:dyDescent="0.3"/>
  <cols>
    <col min="3" max="3" width="13.25" style="72" customWidth="1"/>
    <col min="4" max="4" width="10.25" style="72" bestFit="1" customWidth="1"/>
    <col min="5" max="5" width="7.375" style="72" bestFit="1" customWidth="1"/>
    <col min="6" max="6" width="9.75" style="72" bestFit="1" customWidth="1"/>
    <col min="7" max="7" width="9.5" style="72" bestFit="1" customWidth="1"/>
    <col min="8" max="8" width="9.875" style="72" customWidth="1"/>
    <col min="10" max="10" width="12.125" style="72" bestFit="1" customWidth="1"/>
    <col min="12" max="12" width="11.625" style="72" customWidth="1"/>
  </cols>
  <sheetData>
    <row r="1" spans="1:12" ht="26.25" customHeight="1" x14ac:dyDescent="0.3">
      <c r="A1" s="220" t="s">
        <v>70</v>
      </c>
      <c r="B1" s="115"/>
      <c r="C1" s="146"/>
      <c r="D1" s="146"/>
      <c r="E1" s="146"/>
      <c r="F1" s="146"/>
      <c r="G1" s="146"/>
      <c r="H1" s="146"/>
      <c r="I1" s="115"/>
      <c r="J1" s="146"/>
      <c r="K1" s="115"/>
      <c r="L1" s="146"/>
    </row>
    <row r="2" spans="1:12" ht="17.25" customHeight="1" thickBot="1" x14ac:dyDescent="0.35">
      <c r="A2" s="207" t="s">
        <v>71</v>
      </c>
      <c r="B2" s="115"/>
      <c r="C2" s="146"/>
      <c r="D2" s="146"/>
      <c r="E2" s="146"/>
      <c r="F2" s="146"/>
      <c r="G2" s="146"/>
      <c r="H2" s="146"/>
      <c r="I2" s="115"/>
      <c r="J2" s="146"/>
      <c r="K2" s="115"/>
      <c r="L2" s="146"/>
    </row>
    <row r="3" spans="1:12" x14ac:dyDescent="0.3">
      <c r="A3" s="21" t="s">
        <v>72</v>
      </c>
      <c r="B3" s="22"/>
      <c r="C3" s="22"/>
      <c r="D3" s="22"/>
      <c r="E3" s="22"/>
      <c r="F3" s="22"/>
      <c r="G3" s="22"/>
      <c r="H3" s="23"/>
      <c r="I3" s="22"/>
      <c r="J3" s="182" t="s">
        <v>73</v>
      </c>
      <c r="K3" s="141"/>
      <c r="L3" s="142"/>
    </row>
    <row r="4" spans="1:12" x14ac:dyDescent="0.3">
      <c r="A4" s="197" t="s">
        <v>74</v>
      </c>
      <c r="B4" s="185" t="s">
        <v>75</v>
      </c>
      <c r="C4" s="185" t="s">
        <v>76</v>
      </c>
      <c r="D4" s="185" t="s">
        <v>77</v>
      </c>
      <c r="E4" s="181" t="s">
        <v>17</v>
      </c>
      <c r="F4" s="132"/>
      <c r="G4" s="185" t="s">
        <v>78</v>
      </c>
      <c r="H4" s="185" t="s">
        <v>79</v>
      </c>
      <c r="I4" s="208" t="s">
        <v>80</v>
      </c>
      <c r="J4" s="157"/>
      <c r="K4" s="194" t="s">
        <v>81</v>
      </c>
      <c r="L4" s="157"/>
    </row>
    <row r="5" spans="1:12" x14ac:dyDescent="0.3">
      <c r="A5" s="172"/>
      <c r="B5" s="186"/>
      <c r="C5" s="186"/>
      <c r="D5" s="186"/>
      <c r="E5" s="189" t="s">
        <v>82</v>
      </c>
      <c r="F5" s="190"/>
      <c r="G5" s="186"/>
      <c r="H5" s="186"/>
      <c r="I5" s="153"/>
      <c r="J5" s="158"/>
      <c r="K5" s="195"/>
      <c r="L5" s="158"/>
    </row>
    <row r="6" spans="1:12" ht="22.5" customHeight="1" x14ac:dyDescent="0.3">
      <c r="A6" s="63" t="s">
        <v>83</v>
      </c>
      <c r="B6" s="65" t="s">
        <v>84</v>
      </c>
      <c r="C6" s="79" t="s">
        <v>85</v>
      </c>
      <c r="D6" s="79" t="s">
        <v>86</v>
      </c>
      <c r="E6" s="210">
        <v>12.52</v>
      </c>
      <c r="F6" s="117"/>
      <c r="G6" s="64">
        <v>963870000</v>
      </c>
      <c r="H6" s="64">
        <f t="shared" ref="H6:H18" si="0">IFERROR(G6/E6,0)</f>
        <v>76986421.72523962</v>
      </c>
      <c r="I6" s="188" t="s">
        <v>87</v>
      </c>
      <c r="J6" s="117"/>
      <c r="K6" s="205" t="s">
        <v>88</v>
      </c>
      <c r="L6" s="200"/>
    </row>
    <row r="7" spans="1:12" ht="22.5" customHeight="1" x14ac:dyDescent="0.3">
      <c r="A7" s="82" t="s">
        <v>89</v>
      </c>
      <c r="B7" s="19" t="s">
        <v>90</v>
      </c>
      <c r="C7" s="76" t="s">
        <v>91</v>
      </c>
      <c r="D7" s="76" t="s">
        <v>86</v>
      </c>
      <c r="E7" s="177">
        <v>10.23</v>
      </c>
      <c r="F7" s="117"/>
      <c r="G7" s="84">
        <v>680000000</v>
      </c>
      <c r="H7" s="84">
        <f t="shared" si="0"/>
        <v>66471163.245356791</v>
      </c>
      <c r="I7" s="176" t="s">
        <v>92</v>
      </c>
      <c r="J7" s="117"/>
      <c r="K7" s="206" t="s">
        <v>93</v>
      </c>
      <c r="L7" s="200"/>
    </row>
    <row r="8" spans="1:12" ht="22.5" customHeight="1" x14ac:dyDescent="0.3">
      <c r="A8" s="82" t="s">
        <v>94</v>
      </c>
      <c r="B8" s="19" t="s">
        <v>95</v>
      </c>
      <c r="C8" s="76" t="s">
        <v>96</v>
      </c>
      <c r="D8" s="76" t="s">
        <v>86</v>
      </c>
      <c r="E8" s="177">
        <v>12.22</v>
      </c>
      <c r="F8" s="117"/>
      <c r="G8" s="84">
        <v>840000000</v>
      </c>
      <c r="H8" s="84">
        <f t="shared" si="0"/>
        <v>68739770.867430434</v>
      </c>
      <c r="I8" s="179" t="s">
        <v>97</v>
      </c>
      <c r="J8" s="180"/>
      <c r="K8" s="206" t="s">
        <v>98</v>
      </c>
      <c r="L8" s="200"/>
    </row>
    <row r="9" spans="1:12" ht="22.5" customHeight="1" x14ac:dyDescent="0.3">
      <c r="A9" s="82" t="s">
        <v>99</v>
      </c>
      <c r="B9" s="19" t="s">
        <v>100</v>
      </c>
      <c r="C9" s="76" t="s">
        <v>101</v>
      </c>
      <c r="D9" s="76" t="s">
        <v>102</v>
      </c>
      <c r="E9" s="177">
        <v>17.940000000000001</v>
      </c>
      <c r="F9" s="117"/>
      <c r="G9" s="84">
        <v>425000000</v>
      </c>
      <c r="H9" s="84">
        <f t="shared" si="0"/>
        <v>23690078.037904125</v>
      </c>
      <c r="I9" s="179" t="s">
        <v>103</v>
      </c>
      <c r="J9" s="180"/>
      <c r="K9" s="206" t="s">
        <v>104</v>
      </c>
      <c r="L9" s="200"/>
    </row>
    <row r="10" spans="1:12" ht="22.9" customHeight="1" x14ac:dyDescent="0.3">
      <c r="A10" s="82" t="s">
        <v>105</v>
      </c>
      <c r="B10" s="19" t="s">
        <v>106</v>
      </c>
      <c r="C10" s="76" t="s">
        <v>107</v>
      </c>
      <c r="D10" s="76" t="s">
        <v>108</v>
      </c>
      <c r="E10" s="177">
        <v>11.87</v>
      </c>
      <c r="F10" s="117"/>
      <c r="G10" s="84">
        <v>302470000</v>
      </c>
      <c r="H10" s="84">
        <f t="shared" si="0"/>
        <v>25481887.110362258</v>
      </c>
      <c r="I10" s="176" t="s">
        <v>109</v>
      </c>
      <c r="J10" s="117"/>
      <c r="K10" s="199" t="s">
        <v>110</v>
      </c>
      <c r="L10" s="200"/>
    </row>
    <row r="11" spans="1:12" ht="22.9" customHeight="1" x14ac:dyDescent="0.3">
      <c r="A11" s="82" t="s">
        <v>111</v>
      </c>
      <c r="B11" s="19" t="s">
        <v>112</v>
      </c>
      <c r="C11" s="76" t="s">
        <v>107</v>
      </c>
      <c r="D11" s="76" t="s">
        <v>113</v>
      </c>
      <c r="E11" s="177">
        <v>22.13</v>
      </c>
      <c r="F11" s="117"/>
      <c r="G11" s="84">
        <v>550700000</v>
      </c>
      <c r="H11" s="84">
        <f t="shared" si="0"/>
        <v>24884771.802982379</v>
      </c>
      <c r="I11" s="176" t="s">
        <v>109</v>
      </c>
      <c r="J11" s="117"/>
      <c r="K11" s="199" t="s">
        <v>110</v>
      </c>
      <c r="L11" s="200"/>
    </row>
    <row r="12" spans="1:12" ht="22.5" customHeight="1" x14ac:dyDescent="0.3">
      <c r="A12" s="82" t="s">
        <v>114</v>
      </c>
      <c r="B12" s="76" t="s">
        <v>115</v>
      </c>
      <c r="C12" s="76" t="s">
        <v>116</v>
      </c>
      <c r="D12" s="76" t="s">
        <v>117</v>
      </c>
      <c r="E12" s="177">
        <v>23.95</v>
      </c>
      <c r="F12" s="117"/>
      <c r="G12" s="84">
        <v>888480000</v>
      </c>
      <c r="H12" s="84">
        <f t="shared" si="0"/>
        <v>37097286.012526095</v>
      </c>
      <c r="I12" s="179" t="s">
        <v>118</v>
      </c>
      <c r="J12" s="180"/>
      <c r="K12" s="187" t="s">
        <v>119</v>
      </c>
      <c r="L12" s="180"/>
    </row>
    <row r="13" spans="1:12" ht="22.5" customHeight="1" x14ac:dyDescent="0.3">
      <c r="A13" s="82" t="s">
        <v>120</v>
      </c>
      <c r="B13" s="76" t="s">
        <v>121</v>
      </c>
      <c r="C13" s="76" t="s">
        <v>91</v>
      </c>
      <c r="D13" s="76" t="s">
        <v>117</v>
      </c>
      <c r="E13" s="177">
        <v>20.67</v>
      </c>
      <c r="F13" s="117"/>
      <c r="G13" s="84">
        <v>660000000</v>
      </c>
      <c r="H13" s="84">
        <f t="shared" si="0"/>
        <v>31930333.817126267</v>
      </c>
      <c r="I13" s="179" t="s">
        <v>92</v>
      </c>
      <c r="J13" s="180"/>
      <c r="K13" s="187" t="s">
        <v>122</v>
      </c>
      <c r="L13" s="180"/>
    </row>
    <row r="14" spans="1:12" ht="22.5" customHeight="1" x14ac:dyDescent="0.3">
      <c r="A14" s="82" t="s">
        <v>123</v>
      </c>
      <c r="B14" s="19" t="s">
        <v>124</v>
      </c>
      <c r="C14" s="76" t="s">
        <v>85</v>
      </c>
      <c r="D14" s="76" t="s">
        <v>125</v>
      </c>
      <c r="E14" s="177">
        <v>19.03</v>
      </c>
      <c r="F14" s="117"/>
      <c r="G14" s="84">
        <v>546420000</v>
      </c>
      <c r="H14" s="84">
        <f t="shared" si="0"/>
        <v>28713610.089332633</v>
      </c>
      <c r="I14" s="179" t="s">
        <v>87</v>
      </c>
      <c r="J14" s="180"/>
      <c r="K14" s="187" t="s">
        <v>126</v>
      </c>
      <c r="L14" s="180"/>
    </row>
    <row r="15" spans="1:12" ht="22.5" customHeight="1" x14ac:dyDescent="0.3">
      <c r="A15" s="82" t="s">
        <v>127</v>
      </c>
      <c r="B15" s="19" t="s">
        <v>128</v>
      </c>
      <c r="C15" s="76" t="s">
        <v>129</v>
      </c>
      <c r="D15" s="76" t="s">
        <v>130</v>
      </c>
      <c r="E15" s="177">
        <v>6.49</v>
      </c>
      <c r="F15" s="117"/>
      <c r="G15" s="84">
        <v>118000000</v>
      </c>
      <c r="H15" s="84">
        <f t="shared" si="0"/>
        <v>18181818.18181818</v>
      </c>
      <c r="I15" s="179" t="s">
        <v>131</v>
      </c>
      <c r="J15" s="180"/>
      <c r="K15" s="187" t="s">
        <v>132</v>
      </c>
      <c r="L15" s="180"/>
    </row>
    <row r="16" spans="1:12" ht="22.5" customHeight="1" x14ac:dyDescent="0.3">
      <c r="A16" s="82" t="s">
        <v>133</v>
      </c>
      <c r="B16" s="19" t="s">
        <v>134</v>
      </c>
      <c r="C16" s="76" t="s">
        <v>129</v>
      </c>
      <c r="D16" s="76" t="s">
        <v>113</v>
      </c>
      <c r="E16" s="177">
        <v>32.909999999999997</v>
      </c>
      <c r="F16" s="117"/>
      <c r="G16" s="84">
        <v>680000000</v>
      </c>
      <c r="H16" s="84">
        <f t="shared" si="0"/>
        <v>20662412.640534796</v>
      </c>
      <c r="I16" s="179" t="s">
        <v>131</v>
      </c>
      <c r="J16" s="180"/>
      <c r="K16" s="187" t="s">
        <v>132</v>
      </c>
      <c r="L16" s="180"/>
    </row>
    <row r="17" spans="1:12" ht="22.5" customHeight="1" x14ac:dyDescent="0.3">
      <c r="A17" s="82" t="s">
        <v>135</v>
      </c>
      <c r="B17" s="76" t="s">
        <v>136</v>
      </c>
      <c r="C17" s="76" t="s">
        <v>137</v>
      </c>
      <c r="D17" s="76" t="s">
        <v>138</v>
      </c>
      <c r="E17" s="177">
        <v>13.18</v>
      </c>
      <c r="F17" s="117"/>
      <c r="G17" s="84">
        <v>950000000</v>
      </c>
      <c r="H17" s="84">
        <f t="shared" si="0"/>
        <v>72078907.435508341</v>
      </c>
      <c r="I17" s="179" t="s">
        <v>139</v>
      </c>
      <c r="J17" s="180"/>
      <c r="K17" s="187" t="s">
        <v>140</v>
      </c>
      <c r="L17" s="180"/>
    </row>
    <row r="18" spans="1:12" ht="22.5" customHeight="1" x14ac:dyDescent="0.3">
      <c r="A18" s="20" t="s">
        <v>141</v>
      </c>
      <c r="B18" s="76" t="s">
        <v>142</v>
      </c>
      <c r="C18" s="76" t="s">
        <v>143</v>
      </c>
      <c r="D18" s="76" t="s">
        <v>144</v>
      </c>
      <c r="E18" s="177">
        <v>18.05</v>
      </c>
      <c r="F18" s="117"/>
      <c r="G18" s="84">
        <v>250000000</v>
      </c>
      <c r="H18" s="84">
        <f t="shared" si="0"/>
        <v>13850415.512465373</v>
      </c>
      <c r="I18" s="179" t="s">
        <v>145</v>
      </c>
      <c r="J18" s="180"/>
      <c r="K18" s="187" t="s">
        <v>146</v>
      </c>
      <c r="L18" s="180"/>
    </row>
    <row r="19" spans="1:12" x14ac:dyDescent="0.3">
      <c r="A19" s="218" t="s">
        <v>147</v>
      </c>
      <c r="B19" s="219"/>
      <c r="C19" s="117"/>
      <c r="D19" s="80"/>
      <c r="E19" s="216"/>
      <c r="F19" s="117"/>
      <c r="G19" s="99"/>
      <c r="H19" s="15">
        <f>AVERAGE(H6:H18)</f>
        <v>39136067.421429791</v>
      </c>
      <c r="I19" s="201"/>
      <c r="J19" s="180"/>
      <c r="K19" s="202"/>
      <c r="L19" s="180"/>
    </row>
    <row r="20" spans="1:12" ht="17.25" customHeight="1" thickBot="1" x14ac:dyDescent="0.35">
      <c r="A20" s="209" t="s">
        <v>148</v>
      </c>
      <c r="B20" s="119"/>
      <c r="C20" s="156"/>
      <c r="D20" s="81"/>
      <c r="E20" s="183"/>
      <c r="F20" s="156"/>
      <c r="G20" s="100"/>
      <c r="H20" s="39">
        <f>AVERAGE(H9,H10,H11,H12,H13,H14,H15,H16,H18)</f>
        <v>24943623.689450238</v>
      </c>
      <c r="I20" s="184"/>
      <c r="J20" s="163"/>
      <c r="K20" s="217"/>
      <c r="L20" s="163"/>
    </row>
    <row r="21" spans="1:12" s="88" customFormat="1" ht="17.25" customHeight="1" thickBot="1" x14ac:dyDescent="0.35">
      <c r="A21" s="173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</row>
    <row r="22" spans="1:12" x14ac:dyDescent="0.3">
      <c r="A22" s="21" t="s">
        <v>149</v>
      </c>
      <c r="B22" s="22"/>
      <c r="C22" s="22"/>
      <c r="D22" s="22"/>
      <c r="E22" s="22"/>
      <c r="F22" s="22"/>
      <c r="G22" s="22"/>
      <c r="H22" s="23"/>
      <c r="I22" s="22"/>
      <c r="J22" s="23"/>
      <c r="K22" s="23"/>
      <c r="L22" s="24" t="s">
        <v>73</v>
      </c>
    </row>
    <row r="23" spans="1:12" x14ac:dyDescent="0.3">
      <c r="A23" s="197" t="s">
        <v>74</v>
      </c>
      <c r="B23" s="185" t="s">
        <v>76</v>
      </c>
      <c r="C23" s="152"/>
      <c r="D23" s="185" t="s">
        <v>28</v>
      </c>
      <c r="E23" s="211" t="s">
        <v>150</v>
      </c>
      <c r="F23" s="212"/>
      <c r="G23" s="185" t="s">
        <v>78</v>
      </c>
      <c r="H23" s="185" t="s">
        <v>79</v>
      </c>
      <c r="I23" s="181" t="s">
        <v>151</v>
      </c>
      <c r="J23" s="152"/>
      <c r="K23" s="191" t="s">
        <v>152</v>
      </c>
      <c r="L23" s="192"/>
    </row>
    <row r="24" spans="1:12" x14ac:dyDescent="0.3">
      <c r="A24" s="172"/>
      <c r="B24" s="203"/>
      <c r="C24" s="204"/>
      <c r="D24" s="186"/>
      <c r="E24" s="153"/>
      <c r="F24" s="154"/>
      <c r="G24" s="186"/>
      <c r="H24" s="186"/>
      <c r="I24" s="153"/>
      <c r="J24" s="154"/>
      <c r="K24" s="153"/>
      <c r="L24" s="193"/>
    </row>
    <row r="25" spans="1:12" ht="28.9" customHeight="1" x14ac:dyDescent="0.3">
      <c r="A25" s="82" t="s">
        <v>83</v>
      </c>
      <c r="B25" s="176" t="s">
        <v>101</v>
      </c>
      <c r="C25" s="117"/>
      <c r="D25" s="76" t="s">
        <v>153</v>
      </c>
      <c r="E25" s="177">
        <v>11.32</v>
      </c>
      <c r="F25" s="117"/>
      <c r="G25" s="84">
        <v>253000000</v>
      </c>
      <c r="H25" s="84">
        <f t="shared" ref="H25:H34" si="1">IFERROR(G25/E25,0)</f>
        <v>22349823.321554769</v>
      </c>
      <c r="I25" s="176" t="s">
        <v>154</v>
      </c>
      <c r="J25" s="117"/>
      <c r="K25" s="174" t="s">
        <v>59</v>
      </c>
      <c r="L25" s="175"/>
    </row>
    <row r="26" spans="1:12" ht="28.9" customHeight="1" x14ac:dyDescent="0.3">
      <c r="A26" s="82" t="s">
        <v>89</v>
      </c>
      <c r="B26" s="176" t="s">
        <v>101</v>
      </c>
      <c r="C26" s="117"/>
      <c r="D26" s="76" t="s">
        <v>153</v>
      </c>
      <c r="E26" s="177">
        <v>11.32</v>
      </c>
      <c r="F26" s="117"/>
      <c r="G26" s="84">
        <v>250000000</v>
      </c>
      <c r="H26" s="84">
        <f t="shared" si="1"/>
        <v>22084805.653710246</v>
      </c>
      <c r="I26" s="176" t="s">
        <v>154</v>
      </c>
      <c r="J26" s="117"/>
      <c r="K26" s="174" t="s">
        <v>59</v>
      </c>
      <c r="L26" s="175"/>
    </row>
    <row r="27" spans="1:12" ht="28.9" customHeight="1" x14ac:dyDescent="0.3">
      <c r="A27" s="82" t="s">
        <v>94</v>
      </c>
      <c r="B27" s="176" t="s">
        <v>155</v>
      </c>
      <c r="C27" s="117"/>
      <c r="D27" s="76" t="s">
        <v>156</v>
      </c>
      <c r="E27" s="177">
        <v>13.79</v>
      </c>
      <c r="F27" s="117"/>
      <c r="G27" s="84">
        <v>220000000</v>
      </c>
      <c r="H27" s="84">
        <f t="shared" si="1"/>
        <v>15953589.557650473</v>
      </c>
      <c r="I27" s="176" t="s">
        <v>157</v>
      </c>
      <c r="J27" s="117"/>
      <c r="K27" s="174" t="s">
        <v>59</v>
      </c>
      <c r="L27" s="175"/>
    </row>
    <row r="28" spans="1:12" ht="28.9" customHeight="1" x14ac:dyDescent="0.3">
      <c r="A28" s="82" t="s">
        <v>99</v>
      </c>
      <c r="B28" s="176" t="s">
        <v>91</v>
      </c>
      <c r="C28" s="117"/>
      <c r="D28" s="76" t="s">
        <v>158</v>
      </c>
      <c r="E28" s="177">
        <v>11.06</v>
      </c>
      <c r="F28" s="117"/>
      <c r="G28" s="84">
        <v>650000000</v>
      </c>
      <c r="H28" s="84">
        <f t="shared" si="1"/>
        <v>58770343.58047016</v>
      </c>
      <c r="I28" s="176" t="s">
        <v>159</v>
      </c>
      <c r="J28" s="117"/>
      <c r="K28" s="174" t="s">
        <v>59</v>
      </c>
      <c r="L28" s="175"/>
    </row>
    <row r="29" spans="1:12" ht="28.9" customHeight="1" x14ac:dyDescent="0.3">
      <c r="A29" s="82" t="s">
        <v>105</v>
      </c>
      <c r="B29" s="176" t="s">
        <v>96</v>
      </c>
      <c r="C29" s="117"/>
      <c r="D29" s="76" t="s">
        <v>158</v>
      </c>
      <c r="E29" s="177">
        <v>12.22</v>
      </c>
      <c r="F29" s="117"/>
      <c r="G29" s="84">
        <v>750000000</v>
      </c>
      <c r="H29" s="84">
        <f t="shared" si="1"/>
        <v>61374795.417348608</v>
      </c>
      <c r="I29" s="176" t="s">
        <v>160</v>
      </c>
      <c r="J29" s="117"/>
      <c r="K29" s="174" t="s">
        <v>59</v>
      </c>
      <c r="L29" s="175"/>
    </row>
    <row r="30" spans="1:12" ht="28.9" customHeight="1" x14ac:dyDescent="0.3">
      <c r="A30" s="82" t="s">
        <v>111</v>
      </c>
      <c r="B30" s="176" t="s">
        <v>85</v>
      </c>
      <c r="C30" s="117"/>
      <c r="D30" s="76" t="s">
        <v>153</v>
      </c>
      <c r="E30" s="177">
        <v>18.5</v>
      </c>
      <c r="F30" s="117"/>
      <c r="G30" s="84">
        <v>450000000</v>
      </c>
      <c r="H30" s="84">
        <f t="shared" si="1"/>
        <v>24324324.324324325</v>
      </c>
      <c r="I30" s="176" t="s">
        <v>161</v>
      </c>
      <c r="J30" s="117"/>
      <c r="K30" s="174" t="s">
        <v>271</v>
      </c>
      <c r="L30" s="175"/>
    </row>
    <row r="31" spans="1:12" ht="28.9" customHeight="1" x14ac:dyDescent="0.3">
      <c r="A31" s="82" t="s">
        <v>114</v>
      </c>
      <c r="B31" s="176" t="s">
        <v>162</v>
      </c>
      <c r="C31" s="117"/>
      <c r="D31" s="83" t="s">
        <v>163</v>
      </c>
      <c r="E31" s="177">
        <v>179.99</v>
      </c>
      <c r="F31" s="117"/>
      <c r="G31" s="84">
        <v>3000000000</v>
      </c>
      <c r="H31" s="84">
        <f t="shared" si="1"/>
        <v>16667592.644035779</v>
      </c>
      <c r="I31" s="176" t="s">
        <v>164</v>
      </c>
      <c r="J31" s="117"/>
      <c r="K31" s="174" t="s">
        <v>165</v>
      </c>
      <c r="L31" s="175"/>
    </row>
    <row r="32" spans="1:12" ht="28.9" customHeight="1" x14ac:dyDescent="0.3">
      <c r="A32" s="82" t="s">
        <v>120</v>
      </c>
      <c r="B32" s="176" t="s">
        <v>129</v>
      </c>
      <c r="C32" s="117"/>
      <c r="D32" s="83" t="s">
        <v>166</v>
      </c>
      <c r="E32" s="177">
        <v>29.22</v>
      </c>
      <c r="F32" s="117"/>
      <c r="G32" s="84">
        <v>490000000</v>
      </c>
      <c r="H32" s="84">
        <f t="shared" si="1"/>
        <v>16769336.071184121</v>
      </c>
      <c r="I32" s="176" t="s">
        <v>167</v>
      </c>
      <c r="J32" s="117"/>
      <c r="K32" s="196" t="s">
        <v>59</v>
      </c>
      <c r="L32" s="175"/>
    </row>
    <row r="33" spans="1:14" ht="28.9" customHeight="1" x14ac:dyDescent="0.3">
      <c r="A33" s="82" t="s">
        <v>123</v>
      </c>
      <c r="B33" s="176" t="s">
        <v>143</v>
      </c>
      <c r="C33" s="117"/>
      <c r="D33" s="83" t="s">
        <v>153</v>
      </c>
      <c r="E33" s="177">
        <v>15.27</v>
      </c>
      <c r="F33" s="117"/>
      <c r="G33" s="84">
        <v>310000000</v>
      </c>
      <c r="H33" s="84">
        <f t="shared" si="1"/>
        <v>20301244.269810084</v>
      </c>
      <c r="I33" s="176" t="s">
        <v>168</v>
      </c>
      <c r="J33" s="117"/>
      <c r="K33" s="174" t="s">
        <v>59</v>
      </c>
      <c r="L33" s="175"/>
    </row>
    <row r="34" spans="1:14" ht="28.9" customHeight="1" x14ac:dyDescent="0.3">
      <c r="A34" s="82" t="s">
        <v>127</v>
      </c>
      <c r="B34" s="176" t="s">
        <v>169</v>
      </c>
      <c r="C34" s="117"/>
      <c r="D34" s="83" t="s">
        <v>170</v>
      </c>
      <c r="E34" s="177">
        <v>33.49</v>
      </c>
      <c r="F34" s="117"/>
      <c r="G34" s="84">
        <v>700000000</v>
      </c>
      <c r="H34" s="84">
        <f t="shared" si="1"/>
        <v>20901761.719916392</v>
      </c>
      <c r="I34" s="176" t="s">
        <v>171</v>
      </c>
      <c r="J34" s="117"/>
      <c r="K34" s="174" t="s">
        <v>172</v>
      </c>
      <c r="L34" s="175"/>
    </row>
    <row r="35" spans="1:14" x14ac:dyDescent="0.3">
      <c r="A35" s="218" t="s">
        <v>147</v>
      </c>
      <c r="B35" s="219"/>
      <c r="C35" s="117"/>
      <c r="D35" s="80"/>
      <c r="E35" s="216"/>
      <c r="F35" s="117"/>
      <c r="G35" s="99"/>
      <c r="H35" s="15">
        <f>AVERAGE(H25:H34)</f>
        <v>27949761.656000495</v>
      </c>
      <c r="I35" s="198"/>
      <c r="J35" s="117"/>
      <c r="K35" s="178"/>
      <c r="L35" s="175"/>
    </row>
    <row r="36" spans="1:14" ht="17.25" customHeight="1" thickBot="1" x14ac:dyDescent="0.35">
      <c r="A36" s="209" t="s">
        <v>173</v>
      </c>
      <c r="B36" s="119"/>
      <c r="C36" s="156"/>
      <c r="D36" s="81"/>
      <c r="E36" s="183"/>
      <c r="F36" s="156"/>
      <c r="G36" s="100"/>
      <c r="H36" s="39">
        <f>AVERAGE(H25,H26,H27,H30,H32,H33,H34)</f>
        <v>20383554.988307204</v>
      </c>
      <c r="I36" s="213"/>
      <c r="J36" s="156"/>
      <c r="K36" s="214"/>
      <c r="L36" s="215"/>
    </row>
    <row r="37" spans="1:14" s="88" customFormat="1" x14ac:dyDescent="0.3">
      <c r="A37" s="173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</row>
    <row r="40" spans="1:14" x14ac:dyDescent="0.3">
      <c r="N40" s="101"/>
    </row>
    <row r="41" spans="1:14" x14ac:dyDescent="0.3">
      <c r="N41" s="102"/>
    </row>
    <row r="42" spans="1:14" x14ac:dyDescent="0.3">
      <c r="N42" s="101"/>
    </row>
    <row r="43" spans="1:14" x14ac:dyDescent="0.3">
      <c r="N43" s="101"/>
    </row>
    <row r="44" spans="1:14" x14ac:dyDescent="0.3">
      <c r="N44" s="101"/>
    </row>
    <row r="45" spans="1:14" x14ac:dyDescent="0.3">
      <c r="N45" s="101"/>
    </row>
    <row r="46" spans="1:14" x14ac:dyDescent="0.3">
      <c r="N46" s="101"/>
    </row>
    <row r="47" spans="1:14" x14ac:dyDescent="0.3">
      <c r="N47" s="101"/>
    </row>
    <row r="48" spans="1:14" x14ac:dyDescent="0.3">
      <c r="N48" s="101"/>
    </row>
    <row r="49" spans="1:14" x14ac:dyDescent="0.3">
      <c r="N49" s="101"/>
    </row>
    <row r="50" spans="1:14" x14ac:dyDescent="0.3">
      <c r="N50" s="101"/>
    </row>
    <row r="51" spans="1:14" x14ac:dyDescent="0.3">
      <c r="N51" s="101"/>
    </row>
    <row r="52" spans="1:14" x14ac:dyDescent="0.3">
      <c r="N52" s="103"/>
    </row>
    <row r="53" spans="1:14" x14ac:dyDescent="0.3">
      <c r="N53" s="60"/>
    </row>
    <row r="54" spans="1:14" x14ac:dyDescent="0.3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28"/>
    </row>
    <row r="55" spans="1:14" x14ac:dyDescent="0.3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28"/>
    </row>
  </sheetData>
  <mergeCells count="118">
    <mergeCell ref="A36:C36"/>
    <mergeCell ref="A1:L1"/>
    <mergeCell ref="I31:J31"/>
    <mergeCell ref="A35:C35"/>
    <mergeCell ref="E9:F9"/>
    <mergeCell ref="I12:J12"/>
    <mergeCell ref="A19:C19"/>
    <mergeCell ref="E30:F30"/>
    <mergeCell ref="K12:L12"/>
    <mergeCell ref="G4:G5"/>
    <mergeCell ref="E11:F11"/>
    <mergeCell ref="I14:J14"/>
    <mergeCell ref="K14:L14"/>
    <mergeCell ref="I29:J29"/>
    <mergeCell ref="I36:J36"/>
    <mergeCell ref="K36:L36"/>
    <mergeCell ref="E17:F17"/>
    <mergeCell ref="E35:F35"/>
    <mergeCell ref="K20:L20"/>
    <mergeCell ref="E10:F10"/>
    <mergeCell ref="D4:D5"/>
    <mergeCell ref="E19:F19"/>
    <mergeCell ref="E28:F28"/>
    <mergeCell ref="I28:J28"/>
    <mergeCell ref="A2:L2"/>
    <mergeCell ref="K29:L29"/>
    <mergeCell ref="K11:L11"/>
    <mergeCell ref="E20:F20"/>
    <mergeCell ref="I4:J5"/>
    <mergeCell ref="E29:F29"/>
    <mergeCell ref="E13:F13"/>
    <mergeCell ref="K31:L31"/>
    <mergeCell ref="A20:C20"/>
    <mergeCell ref="E31:F31"/>
    <mergeCell ref="E6:F6"/>
    <mergeCell ref="E15:F15"/>
    <mergeCell ref="K8:L8"/>
    <mergeCell ref="A4:A5"/>
    <mergeCell ref="B28:C28"/>
    <mergeCell ref="K7:L7"/>
    <mergeCell ref="B30:C30"/>
    <mergeCell ref="B4:B5"/>
    <mergeCell ref="E7:F7"/>
    <mergeCell ref="E23:F24"/>
    <mergeCell ref="K18:L18"/>
    <mergeCell ref="I27:J27"/>
    <mergeCell ref="E4:F4"/>
    <mergeCell ref="K4:L5"/>
    <mergeCell ref="I32:J32"/>
    <mergeCell ref="I7:J7"/>
    <mergeCell ref="K32:L32"/>
    <mergeCell ref="B29:C29"/>
    <mergeCell ref="I33:J33"/>
    <mergeCell ref="K27:L27"/>
    <mergeCell ref="A23:A24"/>
    <mergeCell ref="I8:J8"/>
    <mergeCell ref="E26:F26"/>
    <mergeCell ref="I17:J17"/>
    <mergeCell ref="K17:L17"/>
    <mergeCell ref="E16:F16"/>
    <mergeCell ref="E25:F25"/>
    <mergeCell ref="I10:J10"/>
    <mergeCell ref="H4:H5"/>
    <mergeCell ref="K10:L10"/>
    <mergeCell ref="I19:J19"/>
    <mergeCell ref="D23:D24"/>
    <mergeCell ref="K19:L19"/>
    <mergeCell ref="B23:C24"/>
    <mergeCell ref="K6:L6"/>
    <mergeCell ref="E18:F18"/>
    <mergeCell ref="J3:L3"/>
    <mergeCell ref="I18:J18"/>
    <mergeCell ref="E34:F34"/>
    <mergeCell ref="E27:F27"/>
    <mergeCell ref="E36:F36"/>
    <mergeCell ref="I20:J20"/>
    <mergeCell ref="B33:C33"/>
    <mergeCell ref="K28:L28"/>
    <mergeCell ref="B32:C32"/>
    <mergeCell ref="I13:J13"/>
    <mergeCell ref="B26:C26"/>
    <mergeCell ref="H23:H24"/>
    <mergeCell ref="K13:L13"/>
    <mergeCell ref="I30:J30"/>
    <mergeCell ref="E12:F12"/>
    <mergeCell ref="K30:L30"/>
    <mergeCell ref="I6:J6"/>
    <mergeCell ref="G23:G24"/>
    <mergeCell ref="B25:C25"/>
    <mergeCell ref="C4:C5"/>
    <mergeCell ref="I15:J15"/>
    <mergeCell ref="K15:L15"/>
    <mergeCell ref="E5:F5"/>
    <mergeCell ref="E14:F14"/>
    <mergeCell ref="A37:L37"/>
    <mergeCell ref="K33:L33"/>
    <mergeCell ref="B31:C31"/>
    <mergeCell ref="A21:L21"/>
    <mergeCell ref="I26:J26"/>
    <mergeCell ref="E8:F8"/>
    <mergeCell ref="K26:L26"/>
    <mergeCell ref="K35:L35"/>
    <mergeCell ref="I16:J16"/>
    <mergeCell ref="I23:J24"/>
    <mergeCell ref="I25:J25"/>
    <mergeCell ref="B27:C27"/>
    <mergeCell ref="K23:L24"/>
    <mergeCell ref="I35:J35"/>
    <mergeCell ref="I9:J9"/>
    <mergeCell ref="K16:L16"/>
    <mergeCell ref="K25:L25"/>
    <mergeCell ref="K9:L9"/>
    <mergeCell ref="I11:J11"/>
    <mergeCell ref="B34:C34"/>
    <mergeCell ref="E32:F32"/>
    <mergeCell ref="I34:J34"/>
    <mergeCell ref="K34:L34"/>
    <mergeCell ref="E33:F33"/>
  </mergeCells>
  <phoneticPr fontId="7" type="noConversion"/>
  <printOptions horizontalCentered="1" verticalCentered="1"/>
  <pageMargins left="0.70866141732283472" right="0.70866141732283472" top="0.74803149606299213" bottom="0.74803149606299213" header="0.31496062992125978" footer="0.31496062992125978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zoomScale="115" zoomScaleNormal="115" workbookViewId="0">
      <selection activeCell="K7" sqref="K7:L7"/>
    </sheetView>
  </sheetViews>
  <sheetFormatPr defaultRowHeight="16.5" x14ac:dyDescent="0.3"/>
  <cols>
    <col min="7" max="7" width="9.875" style="88" bestFit="1" customWidth="1"/>
  </cols>
  <sheetData>
    <row r="1" spans="1:12" x14ac:dyDescent="0.3">
      <c r="A1" s="21" t="s">
        <v>174</v>
      </c>
      <c r="B1" s="22"/>
      <c r="C1" s="22"/>
      <c r="D1" s="22"/>
      <c r="E1" s="22"/>
      <c r="F1" s="22"/>
      <c r="G1" s="22"/>
      <c r="H1" s="22"/>
      <c r="I1" s="23"/>
      <c r="J1" s="22"/>
      <c r="K1" s="23"/>
      <c r="L1" s="24" t="s">
        <v>73</v>
      </c>
    </row>
    <row r="2" spans="1:12" x14ac:dyDescent="0.3">
      <c r="A2" s="197" t="s">
        <v>74</v>
      </c>
      <c r="B2" s="185" t="s">
        <v>76</v>
      </c>
      <c r="C2" s="152"/>
      <c r="D2" s="185" t="s">
        <v>28</v>
      </c>
      <c r="E2" s="211" t="s">
        <v>150</v>
      </c>
      <c r="F2" s="212"/>
      <c r="G2" s="211" t="s">
        <v>175</v>
      </c>
      <c r="H2" s="185" t="s">
        <v>176</v>
      </c>
      <c r="I2" s="185" t="s">
        <v>177</v>
      </c>
      <c r="J2" s="181" t="s">
        <v>80</v>
      </c>
      <c r="K2" s="191" t="s">
        <v>178</v>
      </c>
      <c r="L2" s="192"/>
    </row>
    <row r="3" spans="1:12" x14ac:dyDescent="0.3">
      <c r="A3" s="172"/>
      <c r="B3" s="203"/>
      <c r="C3" s="204"/>
      <c r="D3" s="186"/>
      <c r="E3" s="153"/>
      <c r="F3" s="154"/>
      <c r="G3" s="165"/>
      <c r="H3" s="186"/>
      <c r="I3" s="186"/>
      <c r="J3" s="165"/>
      <c r="K3" s="153"/>
      <c r="L3" s="193"/>
    </row>
    <row r="4" spans="1:12" ht="23.45" customHeight="1" x14ac:dyDescent="0.3">
      <c r="A4" s="43" t="s">
        <v>83</v>
      </c>
      <c r="B4" s="233" t="s">
        <v>101</v>
      </c>
      <c r="C4" s="117"/>
      <c r="D4" s="85" t="s">
        <v>179</v>
      </c>
      <c r="E4" s="221">
        <v>42.95</v>
      </c>
      <c r="F4" s="117"/>
      <c r="G4" s="44">
        <v>50000000</v>
      </c>
      <c r="H4" s="44">
        <v>4500000</v>
      </c>
      <c r="I4" s="44">
        <f t="shared" ref="I4:I11" si="0">IFERROR(H4/E4,0)</f>
        <v>104772.99185098952</v>
      </c>
      <c r="J4" s="85" t="s">
        <v>103</v>
      </c>
      <c r="K4" s="234" t="s">
        <v>180</v>
      </c>
      <c r="L4" s="175"/>
    </row>
    <row r="5" spans="1:12" ht="23.45" customHeight="1" x14ac:dyDescent="0.3">
      <c r="A5" s="43" t="s">
        <v>89</v>
      </c>
      <c r="B5" s="233" t="s">
        <v>101</v>
      </c>
      <c r="C5" s="117"/>
      <c r="D5" s="85" t="s">
        <v>181</v>
      </c>
      <c r="E5" s="221">
        <v>8.8800000000000008</v>
      </c>
      <c r="F5" s="117"/>
      <c r="G5" s="44">
        <v>5000000</v>
      </c>
      <c r="H5" s="44">
        <v>650000</v>
      </c>
      <c r="I5" s="44">
        <f t="shared" si="0"/>
        <v>73198.198198198195</v>
      </c>
      <c r="J5" s="85" t="s">
        <v>103</v>
      </c>
      <c r="K5" s="234" t="s">
        <v>182</v>
      </c>
      <c r="L5" s="175"/>
    </row>
    <row r="6" spans="1:12" ht="23.45" customHeight="1" x14ac:dyDescent="0.3">
      <c r="A6" s="43" t="s">
        <v>94</v>
      </c>
      <c r="B6" s="233" t="s">
        <v>101</v>
      </c>
      <c r="C6" s="117"/>
      <c r="D6" s="85" t="s">
        <v>158</v>
      </c>
      <c r="E6" s="221">
        <v>10.14</v>
      </c>
      <c r="F6" s="117"/>
      <c r="G6" s="44">
        <v>30000000</v>
      </c>
      <c r="H6" s="44">
        <v>2100000</v>
      </c>
      <c r="I6" s="44">
        <f t="shared" si="0"/>
        <v>207100.59171597633</v>
      </c>
      <c r="J6" s="85" t="s">
        <v>103</v>
      </c>
      <c r="K6" s="234" t="s">
        <v>183</v>
      </c>
      <c r="L6" s="175"/>
    </row>
    <row r="7" spans="1:12" ht="23.45" customHeight="1" x14ac:dyDescent="0.3">
      <c r="A7" s="43" t="s">
        <v>99</v>
      </c>
      <c r="B7" s="233" t="s">
        <v>107</v>
      </c>
      <c r="C7" s="117"/>
      <c r="D7" s="85" t="s">
        <v>156</v>
      </c>
      <c r="E7" s="221">
        <v>12.11</v>
      </c>
      <c r="F7" s="117"/>
      <c r="G7" s="44">
        <v>13000000</v>
      </c>
      <c r="H7" s="44">
        <v>1000000</v>
      </c>
      <c r="I7" s="44">
        <f t="shared" si="0"/>
        <v>82576.383154417839</v>
      </c>
      <c r="J7" s="85" t="s">
        <v>109</v>
      </c>
      <c r="K7" s="234" t="s">
        <v>110</v>
      </c>
      <c r="L7" s="175"/>
    </row>
    <row r="8" spans="1:12" ht="23.45" customHeight="1" x14ac:dyDescent="0.3">
      <c r="A8" s="43" t="s">
        <v>105</v>
      </c>
      <c r="B8" s="233" t="s">
        <v>184</v>
      </c>
      <c r="C8" s="117"/>
      <c r="D8" s="45" t="s">
        <v>179</v>
      </c>
      <c r="E8" s="221">
        <v>15.14</v>
      </c>
      <c r="F8" s="117"/>
      <c r="G8" s="44">
        <v>25000000</v>
      </c>
      <c r="H8" s="44">
        <v>1800000</v>
      </c>
      <c r="I8" s="44">
        <f t="shared" si="0"/>
        <v>118890.35667107001</v>
      </c>
      <c r="J8" s="85" t="s">
        <v>185</v>
      </c>
      <c r="K8" s="236" t="s">
        <v>186</v>
      </c>
      <c r="L8" s="175"/>
    </row>
    <row r="9" spans="1:12" ht="23.45" customHeight="1" x14ac:dyDescent="0.3">
      <c r="A9" s="82" t="s">
        <v>111</v>
      </c>
      <c r="B9" s="176" t="s">
        <v>184</v>
      </c>
      <c r="C9" s="117"/>
      <c r="D9" s="83" t="s">
        <v>153</v>
      </c>
      <c r="E9" s="177">
        <v>30.3</v>
      </c>
      <c r="F9" s="117"/>
      <c r="G9" s="84">
        <v>40000000</v>
      </c>
      <c r="H9" s="84">
        <v>2000000</v>
      </c>
      <c r="I9" s="84">
        <f t="shared" si="0"/>
        <v>66006.600660066004</v>
      </c>
      <c r="J9" s="76" t="s">
        <v>185</v>
      </c>
      <c r="K9" s="174" t="s">
        <v>187</v>
      </c>
      <c r="L9" s="175"/>
    </row>
    <row r="10" spans="1:12" ht="23.45" customHeight="1" x14ac:dyDescent="0.3">
      <c r="A10" s="82" t="s">
        <v>114</v>
      </c>
      <c r="B10" s="176" t="s">
        <v>155</v>
      </c>
      <c r="C10" s="117"/>
      <c r="D10" s="83" t="s">
        <v>153</v>
      </c>
      <c r="E10" s="177">
        <v>58.46</v>
      </c>
      <c r="F10" s="117"/>
      <c r="G10" s="84">
        <v>60000000</v>
      </c>
      <c r="H10" s="84">
        <v>4200000</v>
      </c>
      <c r="I10" s="84">
        <f t="shared" si="0"/>
        <v>71843.99589462881</v>
      </c>
      <c r="J10" s="76" t="s">
        <v>188</v>
      </c>
      <c r="K10" s="187" t="s">
        <v>189</v>
      </c>
      <c r="L10" s="180"/>
    </row>
    <row r="11" spans="1:12" ht="23.45" customHeight="1" x14ac:dyDescent="0.3">
      <c r="A11" s="82" t="s">
        <v>120</v>
      </c>
      <c r="B11" s="176" t="s">
        <v>116</v>
      </c>
      <c r="C11" s="117"/>
      <c r="D11" s="83" t="s">
        <v>153</v>
      </c>
      <c r="E11" s="177">
        <v>23.95</v>
      </c>
      <c r="F11" s="117"/>
      <c r="G11" s="84">
        <v>30000000</v>
      </c>
      <c r="H11" s="84">
        <v>2000000</v>
      </c>
      <c r="I11" s="84">
        <f t="shared" si="0"/>
        <v>83507.306889352825</v>
      </c>
      <c r="J11" s="76" t="s">
        <v>118</v>
      </c>
      <c r="K11" s="196" t="s">
        <v>190</v>
      </c>
      <c r="L11" s="175"/>
    </row>
    <row r="12" spans="1:12" x14ac:dyDescent="0.3">
      <c r="A12" s="218" t="s">
        <v>147</v>
      </c>
      <c r="B12" s="219"/>
      <c r="C12" s="117"/>
      <c r="D12" s="80"/>
      <c r="E12" s="216"/>
      <c r="F12" s="117"/>
      <c r="G12" s="99"/>
      <c r="H12" s="99"/>
      <c r="I12" s="15">
        <f>AVERAGE(I4:I11)</f>
        <v>100987.05312933745</v>
      </c>
      <c r="J12" s="80"/>
      <c r="K12" s="178"/>
      <c r="L12" s="175"/>
    </row>
    <row r="13" spans="1:12" ht="17.25" customHeight="1" thickBot="1" x14ac:dyDescent="0.35">
      <c r="A13" s="209" t="s">
        <v>173</v>
      </c>
      <c r="B13" s="119"/>
      <c r="C13" s="156"/>
      <c r="D13" s="81"/>
      <c r="E13" s="183"/>
      <c r="F13" s="156"/>
      <c r="G13" s="100"/>
      <c r="H13" s="100"/>
      <c r="I13" s="39">
        <f>AVERAGE(I4,I5,I7,I8,I9,I10,I11)</f>
        <v>85827.976188389031</v>
      </c>
      <c r="J13" s="81"/>
      <c r="K13" s="214"/>
      <c r="L13" s="215"/>
    </row>
    <row r="15" spans="1:12" x14ac:dyDescent="0.3">
      <c r="A15" s="16" t="s">
        <v>191</v>
      </c>
      <c r="B15" s="17"/>
      <c r="C15" s="17"/>
      <c r="D15" s="17"/>
      <c r="E15" s="17"/>
      <c r="F15" s="17"/>
      <c r="G15" s="17"/>
      <c r="H15" s="18"/>
      <c r="I15" s="17"/>
      <c r="J15" s="42"/>
      <c r="K15" s="17"/>
      <c r="L15" s="40" t="s">
        <v>73</v>
      </c>
    </row>
    <row r="16" spans="1:12" ht="36" customHeight="1" x14ac:dyDescent="0.3">
      <c r="A16" s="25" t="s">
        <v>74</v>
      </c>
      <c r="B16" s="78" t="s">
        <v>192</v>
      </c>
      <c r="C16" s="78" t="s">
        <v>40</v>
      </c>
      <c r="D16" s="26" t="s">
        <v>76</v>
      </c>
      <c r="E16" s="78" t="s">
        <v>28</v>
      </c>
      <c r="F16" s="78" t="s">
        <v>193</v>
      </c>
      <c r="G16" s="78" t="s">
        <v>194</v>
      </c>
      <c r="H16" s="78" t="s">
        <v>195</v>
      </c>
      <c r="I16" s="78" t="s">
        <v>196</v>
      </c>
      <c r="J16" s="78" t="s">
        <v>197</v>
      </c>
      <c r="K16" s="41" t="s">
        <v>198</v>
      </c>
      <c r="L16" s="27" t="s">
        <v>12</v>
      </c>
    </row>
    <row r="17" spans="1:12" x14ac:dyDescent="0.3">
      <c r="A17" s="222" t="s">
        <v>83</v>
      </c>
      <c r="B17" s="176" t="s">
        <v>199</v>
      </c>
      <c r="C17" s="176" t="s">
        <v>200</v>
      </c>
      <c r="D17" s="176" t="s">
        <v>201</v>
      </c>
      <c r="E17" s="176" t="s">
        <v>202</v>
      </c>
      <c r="F17" s="77">
        <v>4.1050000000000004</v>
      </c>
      <c r="G17" s="227">
        <v>195000000</v>
      </c>
      <c r="H17" s="227">
        <v>119487500</v>
      </c>
      <c r="I17" s="224">
        <f>IFERROR(H17/G17,0)</f>
        <v>0.61275641025641026</v>
      </c>
      <c r="J17" s="227">
        <f>IFERROR(H17/((F17+F18)/3.3058),0)</f>
        <v>18209560.09127789</v>
      </c>
      <c r="K17" s="223" t="s">
        <v>203</v>
      </c>
      <c r="L17" s="231" t="s">
        <v>204</v>
      </c>
    </row>
    <row r="18" spans="1:12" x14ac:dyDescent="0.3">
      <c r="A18" s="172"/>
      <c r="B18" s="165"/>
      <c r="C18" s="165"/>
      <c r="D18" s="165"/>
      <c r="E18" s="165"/>
      <c r="F18" s="77">
        <v>17.587</v>
      </c>
      <c r="G18" s="165"/>
      <c r="H18" s="165"/>
      <c r="I18" s="165"/>
      <c r="J18" s="165"/>
      <c r="K18" s="165"/>
      <c r="L18" s="232"/>
    </row>
    <row r="19" spans="1:12" x14ac:dyDescent="0.3">
      <c r="A19" s="222" t="s">
        <v>89</v>
      </c>
      <c r="B19" s="176" t="s">
        <v>205</v>
      </c>
      <c r="C19" s="176" t="s">
        <v>206</v>
      </c>
      <c r="D19" s="176" t="s">
        <v>207</v>
      </c>
      <c r="E19" s="176" t="s">
        <v>202</v>
      </c>
      <c r="F19" s="77">
        <v>9.3580000000000005</v>
      </c>
      <c r="G19" s="227">
        <v>906000000</v>
      </c>
      <c r="H19" s="227">
        <v>460440000</v>
      </c>
      <c r="I19" s="224">
        <f>IFERROR(H19/G19,0)</f>
        <v>0.50821192052980135</v>
      </c>
      <c r="J19" s="227">
        <f>IFERROR(H19/((F19+F20)/3.3058),0)</f>
        <v>31871572.343900502</v>
      </c>
      <c r="K19" s="223" t="s">
        <v>208</v>
      </c>
      <c r="L19" s="231" t="s">
        <v>209</v>
      </c>
    </row>
    <row r="20" spans="1:12" x14ac:dyDescent="0.3">
      <c r="A20" s="172"/>
      <c r="B20" s="165"/>
      <c r="C20" s="165"/>
      <c r="D20" s="165"/>
      <c r="E20" s="165"/>
      <c r="F20" s="77">
        <v>38.4</v>
      </c>
      <c r="G20" s="165"/>
      <c r="H20" s="165"/>
      <c r="I20" s="165"/>
      <c r="J20" s="165"/>
      <c r="K20" s="165"/>
      <c r="L20" s="232"/>
    </row>
    <row r="21" spans="1:12" x14ac:dyDescent="0.3">
      <c r="A21" s="222" t="s">
        <v>94</v>
      </c>
      <c r="B21" s="176" t="s">
        <v>210</v>
      </c>
      <c r="C21" s="176" t="s">
        <v>211</v>
      </c>
      <c r="D21" s="176" t="s">
        <v>212</v>
      </c>
      <c r="E21" s="176" t="s">
        <v>202</v>
      </c>
      <c r="F21" s="77">
        <v>9.4404000000000003</v>
      </c>
      <c r="G21" s="227">
        <v>1243000000</v>
      </c>
      <c r="H21" s="227">
        <v>888000000</v>
      </c>
      <c r="I21" s="224">
        <f>IFERROR(H21/G21,0)</f>
        <v>0.71440064360418343</v>
      </c>
      <c r="J21" s="227">
        <f>IFERROR(H21/((F21+F22)/3.3058),0)</f>
        <v>54910745.149680875</v>
      </c>
      <c r="K21" s="223" t="s">
        <v>208</v>
      </c>
      <c r="L21" s="231" t="s">
        <v>213</v>
      </c>
    </row>
    <row r="22" spans="1:12" x14ac:dyDescent="0.3">
      <c r="A22" s="172"/>
      <c r="B22" s="165"/>
      <c r="C22" s="165"/>
      <c r="D22" s="165"/>
      <c r="E22" s="165"/>
      <c r="F22" s="77">
        <v>44.02</v>
      </c>
      <c r="G22" s="165"/>
      <c r="H22" s="165"/>
      <c r="I22" s="165"/>
      <c r="J22" s="165"/>
      <c r="K22" s="165"/>
      <c r="L22" s="232"/>
    </row>
    <row r="23" spans="1:12" x14ac:dyDescent="0.3">
      <c r="A23" s="222" t="s">
        <v>99</v>
      </c>
      <c r="B23" s="176" t="s">
        <v>214</v>
      </c>
      <c r="C23" s="176" t="s">
        <v>215</v>
      </c>
      <c r="D23" s="176" t="s">
        <v>216</v>
      </c>
      <c r="E23" s="176" t="s">
        <v>202</v>
      </c>
      <c r="F23" s="77">
        <v>9.5732999999999997</v>
      </c>
      <c r="G23" s="227">
        <v>1290000000</v>
      </c>
      <c r="H23" s="227">
        <v>830999999</v>
      </c>
      <c r="I23" s="224">
        <f>IFERROR(H23/G23,0)</f>
        <v>0.64418604573643412</v>
      </c>
      <c r="J23" s="227">
        <f>IFERROR(H23/((F23+F24)/3.3058),0)</f>
        <v>50672432.718432553</v>
      </c>
      <c r="K23" s="223" t="s">
        <v>217</v>
      </c>
      <c r="L23" s="231" t="s">
        <v>213</v>
      </c>
    </row>
    <row r="24" spans="1:12" x14ac:dyDescent="0.3">
      <c r="A24" s="172"/>
      <c r="B24" s="165"/>
      <c r="C24" s="165"/>
      <c r="D24" s="165"/>
      <c r="E24" s="165"/>
      <c r="F24" s="77">
        <v>44.64</v>
      </c>
      <c r="G24" s="165"/>
      <c r="H24" s="165"/>
      <c r="I24" s="165"/>
      <c r="J24" s="165"/>
      <c r="K24" s="165"/>
      <c r="L24" s="232"/>
    </row>
    <row r="25" spans="1:12" x14ac:dyDescent="0.3">
      <c r="A25" s="222" t="s">
        <v>105</v>
      </c>
      <c r="B25" s="176" t="s">
        <v>218</v>
      </c>
      <c r="C25" s="176" t="s">
        <v>219</v>
      </c>
      <c r="D25" s="176" t="s">
        <v>220</v>
      </c>
      <c r="E25" s="176" t="s">
        <v>202</v>
      </c>
      <c r="F25" s="77">
        <v>9.4700000000000006</v>
      </c>
      <c r="G25" s="227">
        <v>935000000</v>
      </c>
      <c r="H25" s="227">
        <v>500990000</v>
      </c>
      <c r="I25" s="224">
        <f>IFERROR(H25/G25,0)</f>
        <v>0.53581818181818186</v>
      </c>
      <c r="J25" s="227">
        <f>IFERROR(H25/((F25+F26)/3.3058),0)</f>
        <v>35855655.812946528</v>
      </c>
      <c r="K25" s="223" t="s">
        <v>203</v>
      </c>
      <c r="L25" s="231" t="s">
        <v>221</v>
      </c>
    </row>
    <row r="26" spans="1:12" x14ac:dyDescent="0.3">
      <c r="A26" s="172"/>
      <c r="B26" s="165"/>
      <c r="C26" s="165"/>
      <c r="D26" s="165"/>
      <c r="E26" s="165"/>
      <c r="F26" s="77">
        <v>36.72</v>
      </c>
      <c r="G26" s="165"/>
      <c r="H26" s="165"/>
      <c r="I26" s="165"/>
      <c r="J26" s="165"/>
      <c r="K26" s="165"/>
      <c r="L26" s="232"/>
    </row>
    <row r="27" spans="1:12" x14ac:dyDescent="0.3">
      <c r="A27" s="222" t="s">
        <v>111</v>
      </c>
      <c r="B27" s="176" t="s">
        <v>222</v>
      </c>
      <c r="C27" s="176" t="s">
        <v>223</v>
      </c>
      <c r="D27" s="176" t="s">
        <v>224</v>
      </c>
      <c r="E27" s="176" t="s">
        <v>202</v>
      </c>
      <c r="F27" s="77">
        <v>20.53</v>
      </c>
      <c r="G27" s="227">
        <v>790000000</v>
      </c>
      <c r="H27" s="227">
        <v>336100000</v>
      </c>
      <c r="I27" s="224">
        <f>IFERROR(H27/G27,0)</f>
        <v>0.42544303797468352</v>
      </c>
      <c r="J27" s="227">
        <f>IFERROR(H27/((F27+F28)/3.3058),0)</f>
        <v>10659880.840449007</v>
      </c>
      <c r="K27" s="223" t="s">
        <v>225</v>
      </c>
      <c r="L27" s="231" t="s">
        <v>226</v>
      </c>
    </row>
    <row r="28" spans="1:12" x14ac:dyDescent="0.3">
      <c r="A28" s="172"/>
      <c r="B28" s="165"/>
      <c r="C28" s="165"/>
      <c r="D28" s="165"/>
      <c r="E28" s="165"/>
      <c r="F28" s="77">
        <v>83.7</v>
      </c>
      <c r="G28" s="165"/>
      <c r="H28" s="165"/>
      <c r="I28" s="165"/>
      <c r="J28" s="165"/>
      <c r="K28" s="165"/>
      <c r="L28" s="232"/>
    </row>
    <row r="29" spans="1:12" x14ac:dyDescent="0.3">
      <c r="A29" s="238" t="s">
        <v>147</v>
      </c>
      <c r="B29" s="239"/>
      <c r="C29" s="239"/>
      <c r="D29" s="239"/>
      <c r="E29" s="239"/>
      <c r="F29" s="167"/>
      <c r="G29" s="235">
        <f>AVERAGE(G17:G28)</f>
        <v>893166666.66666663</v>
      </c>
      <c r="H29" s="235">
        <f>AVERAGE(H17:H28)</f>
        <v>522669583.16666669</v>
      </c>
      <c r="I29" s="225">
        <f>AVERAGE(I17,I19,I21,I23,I25,I27)</f>
        <v>0.57346937331994907</v>
      </c>
      <c r="J29" s="237">
        <f>AVERAGE(J17,J19,J21,J23,J25,J27)</f>
        <v>33696641.159447894</v>
      </c>
      <c r="K29" s="228" t="s">
        <v>227</v>
      </c>
      <c r="L29" s="229"/>
    </row>
    <row r="30" spans="1:12" ht="17.25" customHeight="1" thickBot="1" x14ac:dyDescent="0.35">
      <c r="A30" s="240"/>
      <c r="B30" s="241"/>
      <c r="C30" s="241"/>
      <c r="D30" s="241"/>
      <c r="E30" s="241"/>
      <c r="F30" s="242"/>
      <c r="G30" s="226"/>
      <c r="H30" s="226"/>
      <c r="I30" s="226"/>
      <c r="J30" s="226"/>
      <c r="K30" s="226"/>
      <c r="L30" s="230"/>
    </row>
  </sheetData>
  <mergeCells count="112">
    <mergeCell ref="A29:F30"/>
    <mergeCell ref="E17:E18"/>
    <mergeCell ref="G17:G18"/>
    <mergeCell ref="K21:K22"/>
    <mergeCell ref="K2:L3"/>
    <mergeCell ref="H21:H22"/>
    <mergeCell ref="E19:E20"/>
    <mergeCell ref="G19:G20"/>
    <mergeCell ref="I25:I26"/>
    <mergeCell ref="E10:F10"/>
    <mergeCell ref="A25:A26"/>
    <mergeCell ref="C25:C26"/>
    <mergeCell ref="I21:I22"/>
    <mergeCell ref="L23:L24"/>
    <mergeCell ref="E9:F9"/>
    <mergeCell ref="B8:C8"/>
    <mergeCell ref="B19:B20"/>
    <mergeCell ref="G29:G30"/>
    <mergeCell ref="K12:L12"/>
    <mergeCell ref="H27:H28"/>
    <mergeCell ref="K23:K24"/>
    <mergeCell ref="E11:F11"/>
    <mergeCell ref="B10:C10"/>
    <mergeCell ref="J2:J3"/>
    <mergeCell ref="H29:H30"/>
    <mergeCell ref="B7:C7"/>
    <mergeCell ref="E2:F3"/>
    <mergeCell ref="K9:L9"/>
    <mergeCell ref="K5:L5"/>
    <mergeCell ref="D2:D3"/>
    <mergeCell ref="K11:L11"/>
    <mergeCell ref="C21:C22"/>
    <mergeCell ref="E13:F13"/>
    <mergeCell ref="L25:L26"/>
    <mergeCell ref="C23:C24"/>
    <mergeCell ref="E6:F6"/>
    <mergeCell ref="K8:L8"/>
    <mergeCell ref="I23:I24"/>
    <mergeCell ref="B9:C9"/>
    <mergeCell ref="K7:L7"/>
    <mergeCell ref="E7:F7"/>
    <mergeCell ref="B5:C5"/>
    <mergeCell ref="J29:J30"/>
    <mergeCell ref="G2:G3"/>
    <mergeCell ref="B21:B22"/>
    <mergeCell ref="B4:C4"/>
    <mergeCell ref="I27:I28"/>
    <mergeCell ref="I2:I3"/>
    <mergeCell ref="L21:L22"/>
    <mergeCell ref="G25:G26"/>
    <mergeCell ref="I19:I20"/>
    <mergeCell ref="K19:K20"/>
    <mergeCell ref="A19:A20"/>
    <mergeCell ref="C19:C20"/>
    <mergeCell ref="B6:C6"/>
    <mergeCell ref="G27:G28"/>
    <mergeCell ref="K10:L10"/>
    <mergeCell ref="D23:D24"/>
    <mergeCell ref="K6:L6"/>
    <mergeCell ref="L27:L28"/>
    <mergeCell ref="D19:D20"/>
    <mergeCell ref="J17:J18"/>
    <mergeCell ref="L17:L18"/>
    <mergeCell ref="K25:K26"/>
    <mergeCell ref="H25:H26"/>
    <mergeCell ref="J19:J20"/>
    <mergeCell ref="L19:L20"/>
    <mergeCell ref="I29:I30"/>
    <mergeCell ref="E25:E26"/>
    <mergeCell ref="E21:E22"/>
    <mergeCell ref="B25:B26"/>
    <mergeCell ref="G21:G22"/>
    <mergeCell ref="H23:H24"/>
    <mergeCell ref="K13:L13"/>
    <mergeCell ref="J23:J24"/>
    <mergeCell ref="K29:K30"/>
    <mergeCell ref="B27:B28"/>
    <mergeCell ref="D27:D28"/>
    <mergeCell ref="G23:G24"/>
    <mergeCell ref="B17:B18"/>
    <mergeCell ref="D17:D18"/>
    <mergeCell ref="J27:J28"/>
    <mergeCell ref="H17:H18"/>
    <mergeCell ref="L29:L30"/>
    <mergeCell ref="H19:H20"/>
    <mergeCell ref="E27:E28"/>
    <mergeCell ref="A13:C13"/>
    <mergeCell ref="A17:A18"/>
    <mergeCell ref="K17:K18"/>
    <mergeCell ref="J25:J26"/>
    <mergeCell ref="C17:C18"/>
    <mergeCell ref="D21:D22"/>
    <mergeCell ref="E23:E24"/>
    <mergeCell ref="E8:F8"/>
    <mergeCell ref="B23:B24"/>
    <mergeCell ref="A27:A28"/>
    <mergeCell ref="K27:K28"/>
    <mergeCell ref="I17:I18"/>
    <mergeCell ref="A2:A3"/>
    <mergeCell ref="C27:C28"/>
    <mergeCell ref="E12:F12"/>
    <mergeCell ref="E5:F5"/>
    <mergeCell ref="A12:C12"/>
    <mergeCell ref="H2:H3"/>
    <mergeCell ref="E4:F4"/>
    <mergeCell ref="B11:C11"/>
    <mergeCell ref="A21:A22"/>
    <mergeCell ref="D25:D26"/>
    <mergeCell ref="A23:A24"/>
    <mergeCell ref="J21:J22"/>
    <mergeCell ref="B2:C3"/>
    <mergeCell ref="K4:L4"/>
  </mergeCells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selection activeCell="A19" sqref="A19:I21"/>
    </sheetView>
  </sheetViews>
  <sheetFormatPr defaultRowHeight="16.5" x14ac:dyDescent="0.3"/>
  <cols>
    <col min="1" max="1" width="14.75" style="72" customWidth="1"/>
    <col min="2" max="3" width="13.375" style="72" bestFit="1" customWidth="1"/>
    <col min="4" max="4" width="15.125" style="72" bestFit="1" customWidth="1"/>
    <col min="5" max="7" width="13.375" style="72" bestFit="1" customWidth="1"/>
    <col min="8" max="8" width="14" style="72" customWidth="1"/>
  </cols>
  <sheetData>
    <row r="1" spans="1:9" x14ac:dyDescent="0.3">
      <c r="A1" s="88"/>
      <c r="B1" s="88"/>
      <c r="C1" s="88"/>
      <c r="D1" s="88"/>
      <c r="E1" s="88"/>
      <c r="F1" s="88"/>
      <c r="G1" s="88"/>
      <c r="H1" s="88"/>
      <c r="I1" s="88"/>
    </row>
    <row r="2" spans="1:9" ht="21" customHeight="1" x14ac:dyDescent="0.3">
      <c r="A2" s="46" t="s">
        <v>228</v>
      </c>
      <c r="B2" s="47"/>
      <c r="C2" s="47"/>
      <c r="D2" s="47"/>
      <c r="E2" s="47"/>
      <c r="F2" s="47"/>
      <c r="G2" s="47"/>
      <c r="H2" s="47"/>
      <c r="I2" s="47"/>
    </row>
    <row r="3" spans="1:9" ht="19.899999999999999" customHeight="1" x14ac:dyDescent="0.3">
      <c r="A3" s="88"/>
      <c r="B3" s="88"/>
      <c r="C3" s="88"/>
      <c r="D3" s="88"/>
      <c r="E3" s="88"/>
      <c r="F3" s="88"/>
      <c r="G3" s="88"/>
      <c r="H3" s="261" t="s">
        <v>229</v>
      </c>
      <c r="I3" s="239"/>
    </row>
    <row r="4" spans="1:9" ht="19.899999999999999" customHeight="1" thickBot="1" x14ac:dyDescent="0.35">
      <c r="A4" s="88"/>
      <c r="B4" s="88"/>
      <c r="C4" s="88"/>
      <c r="D4" s="88"/>
      <c r="E4" s="88"/>
      <c r="F4" s="88"/>
      <c r="G4" s="88"/>
      <c r="H4" s="88"/>
      <c r="I4" s="48" t="s">
        <v>73</v>
      </c>
    </row>
    <row r="5" spans="1:9" ht="19.899999999999999" customHeight="1" thickBot="1" x14ac:dyDescent="0.35">
      <c r="A5" s="49" t="s">
        <v>230</v>
      </c>
      <c r="B5" s="104">
        <v>3287000000</v>
      </c>
      <c r="C5" s="50" t="s">
        <v>231</v>
      </c>
      <c r="D5" s="105">
        <v>2364000000</v>
      </c>
      <c r="E5" s="51" t="s">
        <v>9</v>
      </c>
      <c r="F5" s="106">
        <v>2836800000</v>
      </c>
      <c r="G5" s="88"/>
      <c r="H5" s="88"/>
      <c r="I5" s="48"/>
    </row>
    <row r="6" spans="1:9" ht="19.899999999999999" customHeight="1" thickBot="1" x14ac:dyDescent="0.35">
      <c r="A6" s="52" t="s">
        <v>232</v>
      </c>
      <c r="B6" s="107">
        <v>1654800000</v>
      </c>
      <c r="C6" s="53" t="s">
        <v>233</v>
      </c>
      <c r="D6" s="108">
        <v>2300000000</v>
      </c>
      <c r="E6" s="109"/>
      <c r="F6" s="54"/>
      <c r="G6" s="88"/>
      <c r="H6" s="88"/>
      <c r="I6" s="48"/>
    </row>
    <row r="7" spans="1:9" ht="19.899999999999999" customHeight="1" thickBot="1" x14ac:dyDescent="0.35">
      <c r="A7" s="88"/>
      <c r="B7" s="55">
        <f>(B6/D5)</f>
        <v>0.7</v>
      </c>
      <c r="C7" s="88"/>
      <c r="D7" s="55">
        <f>(D6/B5)</f>
        <v>0.69972619409796166</v>
      </c>
      <c r="E7" s="88"/>
      <c r="F7" s="88"/>
      <c r="G7" s="88"/>
      <c r="H7" s="88"/>
      <c r="I7" s="48"/>
    </row>
    <row r="8" spans="1:9" ht="19.899999999999999" customHeight="1" x14ac:dyDescent="0.3">
      <c r="A8" s="252"/>
      <c r="B8" s="262" t="s">
        <v>234</v>
      </c>
      <c r="C8" s="263"/>
      <c r="D8" s="263"/>
      <c r="E8" s="264"/>
      <c r="F8" s="262" t="s">
        <v>235</v>
      </c>
      <c r="G8" s="263"/>
      <c r="H8" s="263"/>
      <c r="I8" s="264"/>
    </row>
    <row r="9" spans="1:9" ht="19.899999999999999" customHeight="1" x14ac:dyDescent="0.3">
      <c r="A9" s="253"/>
      <c r="B9" s="243" t="s">
        <v>236</v>
      </c>
      <c r="C9" s="244"/>
      <c r="D9" s="243" t="s">
        <v>237</v>
      </c>
      <c r="E9" s="244"/>
      <c r="F9" s="243" t="s">
        <v>238</v>
      </c>
      <c r="G9" s="244"/>
      <c r="H9" s="243" t="s">
        <v>239</v>
      </c>
      <c r="I9" s="244"/>
    </row>
    <row r="10" spans="1:9" ht="19.899999999999999" customHeight="1" x14ac:dyDescent="0.3">
      <c r="A10" s="86" t="s">
        <v>240</v>
      </c>
      <c r="B10" s="243" t="s">
        <v>241</v>
      </c>
      <c r="C10" s="244"/>
      <c r="D10" s="243" t="s">
        <v>242</v>
      </c>
      <c r="E10" s="244"/>
      <c r="F10" s="243" t="s">
        <v>243</v>
      </c>
      <c r="G10" s="244"/>
      <c r="H10" s="243" t="s">
        <v>244</v>
      </c>
      <c r="I10" s="244"/>
    </row>
    <row r="11" spans="1:9" ht="19.899999999999999" customHeight="1" x14ac:dyDescent="0.3">
      <c r="A11" s="86" t="s">
        <v>245</v>
      </c>
      <c r="B11" s="243" t="s">
        <v>246</v>
      </c>
      <c r="C11" s="244"/>
      <c r="D11" s="243" t="s">
        <v>247</v>
      </c>
      <c r="E11" s="244"/>
      <c r="F11" s="243" t="s">
        <v>248</v>
      </c>
      <c r="G11" s="244"/>
      <c r="H11" s="243" t="s">
        <v>249</v>
      </c>
      <c r="I11" s="244"/>
    </row>
    <row r="12" spans="1:9" ht="19.899999999999999" customHeight="1" x14ac:dyDescent="0.3">
      <c r="A12" s="86">
        <v>1</v>
      </c>
      <c r="B12" s="56" t="s">
        <v>250</v>
      </c>
      <c r="C12" s="110">
        <f>B6</f>
        <v>1654800000</v>
      </c>
      <c r="D12" s="111" t="s">
        <v>251</v>
      </c>
      <c r="E12" s="110">
        <f>D6*0.1</f>
        <v>230000000</v>
      </c>
      <c r="F12" s="111" t="s">
        <v>252</v>
      </c>
      <c r="G12" s="110">
        <f>D6*0.8</f>
        <v>1840000000</v>
      </c>
      <c r="H12" s="56" t="s">
        <v>253</v>
      </c>
      <c r="I12" s="57" t="s">
        <v>254</v>
      </c>
    </row>
    <row r="13" spans="1:9" ht="19.899999999999999" customHeight="1" x14ac:dyDescent="0.3">
      <c r="A13" s="86">
        <v>2</v>
      </c>
      <c r="B13" s="56" t="s">
        <v>255</v>
      </c>
      <c r="C13" s="110">
        <f>C12*0.3</f>
        <v>496440000</v>
      </c>
      <c r="D13" s="111" t="s">
        <v>256</v>
      </c>
      <c r="E13" s="110">
        <f>D6</f>
        <v>2300000000</v>
      </c>
      <c r="F13" s="112" t="s">
        <v>257</v>
      </c>
      <c r="G13" s="113">
        <f>E13-E12-G12</f>
        <v>230000000</v>
      </c>
      <c r="H13" s="111" t="s">
        <v>258</v>
      </c>
      <c r="I13" s="113" t="s">
        <v>254</v>
      </c>
    </row>
    <row r="14" spans="1:9" ht="19.899999999999999" customHeight="1" x14ac:dyDescent="0.3">
      <c r="A14" s="86">
        <v>3</v>
      </c>
      <c r="B14" s="56"/>
      <c r="C14" s="110"/>
      <c r="D14" s="111"/>
      <c r="E14" s="110"/>
      <c r="F14" s="111" t="s">
        <v>259</v>
      </c>
      <c r="G14" s="110">
        <f>E13*0.05</f>
        <v>115000000</v>
      </c>
      <c r="H14" s="111" t="s">
        <v>260</v>
      </c>
      <c r="I14" s="110" t="s">
        <v>261</v>
      </c>
    </row>
    <row r="15" spans="1:9" ht="19.899999999999999" customHeight="1" x14ac:dyDescent="0.3">
      <c r="A15" s="86" t="s">
        <v>262</v>
      </c>
      <c r="B15" s="265">
        <f>C13</f>
        <v>496440000</v>
      </c>
      <c r="C15" s="244"/>
      <c r="D15" s="265">
        <f>E12</f>
        <v>230000000</v>
      </c>
      <c r="E15" s="244"/>
      <c r="F15" s="245">
        <f>G13+G14</f>
        <v>345000000</v>
      </c>
      <c r="G15" s="244"/>
      <c r="H15" s="267"/>
      <c r="I15" s="244"/>
    </row>
    <row r="16" spans="1:9" ht="19.899999999999999" customHeight="1" thickBot="1" x14ac:dyDescent="0.35">
      <c r="A16" s="58" t="s">
        <v>263</v>
      </c>
      <c r="B16" s="246" t="s">
        <v>264</v>
      </c>
      <c r="C16" s="247"/>
      <c r="D16" s="247"/>
      <c r="E16" s="248"/>
      <c r="F16" s="59" t="s">
        <v>265</v>
      </c>
      <c r="G16" s="251">
        <f>B15+D15+F15</f>
        <v>1071440000</v>
      </c>
      <c r="H16" s="247"/>
      <c r="I16" s="248"/>
    </row>
    <row r="17" spans="1:9" ht="25.9" customHeight="1" thickTop="1" x14ac:dyDescent="0.3">
      <c r="A17" s="254" t="s">
        <v>266</v>
      </c>
      <c r="B17" s="249" t="s">
        <v>267</v>
      </c>
      <c r="C17" s="250"/>
      <c r="D17" s="249" t="s">
        <v>268</v>
      </c>
      <c r="E17" s="250"/>
      <c r="F17" s="249" t="s">
        <v>269</v>
      </c>
      <c r="G17" s="250"/>
      <c r="H17" s="249" t="s">
        <v>270</v>
      </c>
      <c r="I17" s="250"/>
    </row>
    <row r="18" spans="1:9" ht="25.9" customHeight="1" x14ac:dyDescent="0.3">
      <c r="A18" s="253"/>
      <c r="B18" s="245">
        <f>D6</f>
        <v>2300000000</v>
      </c>
      <c r="C18" s="244"/>
      <c r="D18" s="245">
        <f>C12-C13</f>
        <v>1158360000</v>
      </c>
      <c r="E18" s="244"/>
      <c r="F18" s="245">
        <f>G16</f>
        <v>1071440000</v>
      </c>
      <c r="G18" s="244"/>
      <c r="H18" s="266">
        <f>B18-(D18+F18)</f>
        <v>70200000</v>
      </c>
      <c r="I18" s="244"/>
    </row>
    <row r="19" spans="1:9" ht="19.899999999999999" customHeight="1" x14ac:dyDescent="0.3">
      <c r="A19" s="255"/>
      <c r="B19" s="247"/>
      <c r="C19" s="247"/>
      <c r="D19" s="247"/>
      <c r="E19" s="247"/>
      <c r="F19" s="247"/>
      <c r="G19" s="247"/>
      <c r="H19" s="247"/>
      <c r="I19" s="248"/>
    </row>
    <row r="20" spans="1:9" ht="19.899999999999999" customHeight="1" x14ac:dyDescent="0.3">
      <c r="A20" s="256"/>
      <c r="B20" s="146"/>
      <c r="C20" s="146"/>
      <c r="D20" s="146"/>
      <c r="E20" s="146"/>
      <c r="F20" s="146"/>
      <c r="G20" s="146"/>
      <c r="H20" s="146"/>
      <c r="I20" s="257"/>
    </row>
    <row r="21" spans="1:9" ht="19.899999999999999" customHeight="1" thickBot="1" x14ac:dyDescent="0.35">
      <c r="A21" s="258"/>
      <c r="B21" s="259"/>
      <c r="C21" s="259"/>
      <c r="D21" s="259"/>
      <c r="E21" s="259"/>
      <c r="F21" s="259"/>
      <c r="G21" s="259"/>
      <c r="H21" s="259"/>
      <c r="I21" s="260"/>
    </row>
  </sheetData>
  <mergeCells count="32">
    <mergeCell ref="A19:I21"/>
    <mergeCell ref="F9:G9"/>
    <mergeCell ref="H3:I3"/>
    <mergeCell ref="B8:E8"/>
    <mergeCell ref="B15:C15"/>
    <mergeCell ref="D15:E15"/>
    <mergeCell ref="F8:I8"/>
    <mergeCell ref="H18:I18"/>
    <mergeCell ref="H15:I15"/>
    <mergeCell ref="A8:A9"/>
    <mergeCell ref="A17:A18"/>
    <mergeCell ref="B10:C10"/>
    <mergeCell ref="D18:E18"/>
    <mergeCell ref="B9:C9"/>
    <mergeCell ref="D9:E9"/>
    <mergeCell ref="H9:I9"/>
    <mergeCell ref="F15:G15"/>
    <mergeCell ref="B11:C11"/>
    <mergeCell ref="D11:E11"/>
    <mergeCell ref="F18:G18"/>
    <mergeCell ref="B16:E16"/>
    <mergeCell ref="B17:C17"/>
    <mergeCell ref="D17:E17"/>
    <mergeCell ref="F17:G17"/>
    <mergeCell ref="H17:I17"/>
    <mergeCell ref="G16:I16"/>
    <mergeCell ref="H11:I11"/>
    <mergeCell ref="F11:G11"/>
    <mergeCell ref="D10:E10"/>
    <mergeCell ref="F10:G10"/>
    <mergeCell ref="H10:I10"/>
    <mergeCell ref="B18:C1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물건정보</vt:lpstr>
      <vt:lpstr>시세조사</vt:lpstr>
      <vt:lpstr>시세조사2</vt:lpstr>
      <vt:lpstr>Cash flow</vt:lpstr>
      <vt:lpstr>물건정보!Print_Area</vt:lpstr>
      <vt:lpstr>시세조사!Print_Area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2026-06-29T07:33:34Z</cp:lastPrinted>
  <dcterms:created xsi:type="dcterms:W3CDTF">2026-07-08T06:21:18Z</dcterms:created>
  <dcterms:modified xsi:type="dcterms:W3CDTF">2026-07-10T01:21:36Z</dcterms:modified>
</cp:coreProperties>
</file>