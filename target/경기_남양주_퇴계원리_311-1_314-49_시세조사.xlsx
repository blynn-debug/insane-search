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495" windowHeight="8925" tabRatio="600" firstSheet="0" autoFilterDateGrouping="1"/>
  </bookViews>
  <sheets>
    <sheet name="target_시세조사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_-* #,##0_-;\-* #,##0_-;_-* &quot;-&quot;_-;_-@_-"/>
    <numFmt numFmtId="166" formatCode="#,##0_);[Red]\(#,##0\)"/>
    <numFmt numFmtId="167" formatCode="_-* #,##0.00_-;\-* #,##0.00_-;_-* &quot;-&quot;_-;_-@_-"/>
    <numFmt numFmtId="168" formatCode="_-* #,##0.0_-;\-* #,##0.0_-;_-* &quot;-&quot;??_-;_-@_-"/>
    <numFmt numFmtId="169" formatCode="#,##0_ "/>
  </numFmts>
  <fonts count="17">
    <font>
      <name val="맑은 고딕"/>
      <color theme="1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color rgb="FFFF0000"/>
      <sz val="11"/>
    </font>
    <font>
      <name val="Calibri"/>
      <family val="2"/>
      <color theme="1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111827"/>
      <sz val="10"/>
    </font>
    <font>
      <name val="맑은 고딕"/>
      <charset val="129"/>
      <family val="3"/>
      <color rgb="FF111827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11827"/>
      <sz val="9"/>
    </font>
    <font>
      <name val="맑은 고딕"/>
      <charset val="129"/>
      <family val="3"/>
      <color rgb="FF111827"/>
      <sz val="8"/>
    </font>
    <font>
      <name val="맑은 고딕"/>
      <charset val="129"/>
      <family val="3"/>
      <b val="1"/>
      <color rgb="FF111827"/>
      <sz val="8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b val="1"/>
      <color rgb="FF9C6500"/>
      <sz val="16"/>
    </font>
    <font>
      <name val="맑은 고딕"/>
      <charset val="129"/>
      <family val="3"/>
      <b val="1"/>
      <color rgb="FF9C6500"/>
      <sz val="11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rgb="FF666666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rgb="FF666666"/>
      </right>
      <top style="thin">
        <color indexed="64"/>
      </top>
      <bottom style="thin">
        <color rgb="FF666666"/>
      </bottom>
      <diagonal/>
    </border>
    <border>
      <left style="thin">
        <color rgb="FF66666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rgb="FF666666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rgb="FF666666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000000"/>
      </top>
      <bottom style="thin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66666"/>
      </right>
      <top/>
      <bottom/>
      <diagonal/>
    </border>
    <border>
      <left style="thin">
        <color indexed="64"/>
      </left>
      <right style="thin">
        <color rgb="FF666666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1F4E78"/>
      </bottom>
      <diagonal/>
    </border>
    <border>
      <left/>
      <right style="medium">
        <color indexed="64"/>
      </right>
      <top style="thin">
        <color rgb="FF000000"/>
      </top>
      <bottom style="thin">
        <color rgb="FF1F4E78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2" applyAlignment="1">
      <alignment vertical="center"/>
    </xf>
    <xf numFmtId="41" fontId="2" fillId="0" borderId="2" applyAlignment="1">
      <alignment vertical="center"/>
    </xf>
    <xf numFmtId="9" fontId="2" fillId="0" borderId="2" applyAlignment="1">
      <alignment vertical="center"/>
    </xf>
    <xf numFmtId="0" fontId="5" fillId="0" borderId="2"/>
  </cellStyleXfs>
  <cellXfs count="224">
    <xf numFmtId="0" fontId="0" fillId="0" borderId="0" applyAlignment="1" pivotButton="0" quotePrefix="0" xfId="0">
      <alignment vertical="center"/>
    </xf>
    <xf numFmtId="9" fontId="3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4" fontId="4" fillId="0" borderId="0" applyAlignment="1" pivotButton="0" quotePrefix="0" xfId="1">
      <alignment horizontal="center"/>
    </xf>
    <xf numFmtId="10" fontId="4" fillId="0" borderId="0" pivotButton="0" quotePrefix="0" xfId="2"/>
    <xf numFmtId="0" fontId="8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14" fontId="4" fillId="0" borderId="0" pivotButton="0" quotePrefix="0" xfId="0"/>
    <xf numFmtId="9" fontId="4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9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7" borderId="0" applyAlignment="1" pivotButton="0" quotePrefix="0" xfId="0">
      <alignment vertical="center"/>
    </xf>
    <xf numFmtId="0" fontId="11" fillId="9" borderId="42" applyAlignment="1" pivotButton="0" quotePrefix="0" xfId="0">
      <alignment horizontal="center" vertical="center" wrapText="1"/>
    </xf>
    <xf numFmtId="0" fontId="10" fillId="8" borderId="43" applyAlignment="1" pivotButton="0" quotePrefix="0" xfId="0">
      <alignment horizontal="left" vertical="center"/>
    </xf>
    <xf numFmtId="14" fontId="10" fillId="8" borderId="43" applyAlignment="1" pivotButton="0" quotePrefix="0" xfId="0">
      <alignment horizontal="left" vertical="center"/>
    </xf>
    <xf numFmtId="4" fontId="9" fillId="3" borderId="1" applyAlignment="1" pivotButton="0" quotePrefix="0" xfId="0">
      <alignment horizontal="center" vertical="center" wrapText="1"/>
    </xf>
    <xf numFmtId="4" fontId="8" fillId="6" borderId="26" applyAlignment="1" pivotButton="0" quotePrefix="0" xfId="0">
      <alignment horizontal="center" vertical="center" wrapText="1"/>
    </xf>
    <xf numFmtId="0" fontId="10" fillId="0" borderId="5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vertical="center"/>
    </xf>
    <xf numFmtId="0" fontId="10" fillId="8" borderId="55" applyAlignment="1" pivotButton="0" quotePrefix="0" xfId="0">
      <alignment horizontal="left" vertical="center"/>
    </xf>
    <xf numFmtId="14" fontId="10" fillId="8" borderId="56" applyAlignment="1" pivotButton="0" quotePrefix="0" xfId="0">
      <alignment horizontal="left" vertical="center"/>
    </xf>
    <xf numFmtId="0" fontId="10" fillId="8" borderId="63" applyAlignment="1" pivotButton="0" quotePrefix="0" xfId="0">
      <alignment horizontal="left" vertical="center"/>
    </xf>
    <xf numFmtId="0" fontId="10" fillId="8" borderId="64" applyAlignment="1" pivotButton="0" quotePrefix="0" xfId="0">
      <alignment horizontal="left" vertical="center"/>
    </xf>
    <xf numFmtId="14" fontId="10" fillId="8" borderId="64" applyAlignment="1" pivotButton="0" quotePrefix="0" xfId="0">
      <alignment horizontal="left" vertical="center"/>
    </xf>
    <xf numFmtId="14" fontId="10" fillId="8" borderId="65" applyAlignment="1" pivotButton="0" quotePrefix="0" xfId="0">
      <alignment horizontal="left" vertical="center"/>
    </xf>
    <xf numFmtId="0" fontId="11" fillId="9" borderId="66" applyAlignment="1" pivotButton="0" quotePrefix="0" xfId="0">
      <alignment horizontal="center" vertical="center" wrapText="1"/>
    </xf>
    <xf numFmtId="0" fontId="11" fillId="9" borderId="67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5" borderId="17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8" fillId="5" borderId="25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2" fontId="1" fillId="12" borderId="0" applyAlignment="1" pivotButton="0" quotePrefix="0" xfId="0">
      <alignment vertical="center" wrapText="1"/>
    </xf>
    <xf numFmtId="3" fontId="1" fillId="12" borderId="0" applyAlignment="1" pivotButton="0" quotePrefix="0" xfId="0">
      <alignment vertical="center" wrapText="1"/>
    </xf>
    <xf numFmtId="0" fontId="16" fillId="13" borderId="0" applyAlignment="1" pivotButton="0" quotePrefix="0" xfId="0">
      <alignment horizontal="center"/>
    </xf>
    <xf numFmtId="0" fontId="16" fillId="1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5" borderId="33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26" applyAlignment="1" pivotButton="0" quotePrefix="0" xfId="0">
      <alignment horizontal="center" vertical="center" wrapText="1"/>
    </xf>
    <xf numFmtId="0" fontId="11" fillId="10" borderId="57" applyAlignment="1" pivotButton="0" quotePrefix="0" xfId="0">
      <alignment horizontal="center" vertical="center" wrapText="1"/>
    </xf>
    <xf numFmtId="2" fontId="12" fillId="7" borderId="3" applyAlignment="1" pivotButton="0" quotePrefix="0" xfId="0">
      <alignment horizontal="center" vertical="center" wrapText="1"/>
    </xf>
    <xf numFmtId="3" fontId="12" fillId="7" borderId="3" applyAlignment="1" pivotButton="0" quotePrefix="0" xfId="0">
      <alignment horizontal="center" vertical="center" wrapText="1"/>
    </xf>
    <xf numFmtId="3" fontId="13" fillId="6" borderId="59" applyAlignment="1" pivotButton="0" quotePrefix="0" xfId="0">
      <alignment horizontal="center" vertical="center" wrapText="1"/>
    </xf>
    <xf numFmtId="9" fontId="12" fillId="7" borderId="3" applyAlignment="1" pivotButton="0" quotePrefix="0" xfId="0">
      <alignment horizontal="center" vertical="center" wrapText="1"/>
    </xf>
    <xf numFmtId="9" fontId="13" fillId="6" borderId="59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left" vertical="top" wrapText="1"/>
    </xf>
    <xf numFmtId="0" fontId="8" fillId="5" borderId="1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9" fillId="3" borderId="24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left" vertical="center" wrapText="1"/>
    </xf>
    <xf numFmtId="3" fontId="12" fillId="3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9" applyAlignment="1" pivotButton="0" quotePrefix="0" xfId="0">
      <alignment horizontal="center" vertical="center" wrapText="1"/>
    </xf>
    <xf numFmtId="0" fontId="11" fillId="9" borderId="41" applyAlignment="1" pivotButton="0" quotePrefix="0" xfId="0">
      <alignment horizontal="center" vertical="center" wrapText="1"/>
    </xf>
    <xf numFmtId="0" fontId="13" fillId="6" borderId="59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4" fontId="8" fillId="6" borderId="26" applyAlignment="1" pivotButton="0" quotePrefix="0" xfId="0">
      <alignment horizontal="center" vertical="center" wrapText="1"/>
    </xf>
    <xf numFmtId="165" fontId="4" fillId="0" borderId="0" pivotButton="0" quotePrefix="0" xfId="1"/>
    <xf numFmtId="166" fontId="4" fillId="0" borderId="0" pivotButton="0" quotePrefix="0" xfId="0"/>
    <xf numFmtId="166" fontId="4" fillId="0" borderId="0" pivotButton="0" quotePrefix="0" xfId="1"/>
    <xf numFmtId="167" fontId="8" fillId="3" borderId="0" applyAlignment="1" pivotButton="0" quotePrefix="0" xfId="0">
      <alignment horizontal="center" vertical="center" wrapText="1"/>
    </xf>
    <xf numFmtId="168" fontId="8" fillId="3" borderId="0" applyAlignment="1" pivotButton="0" quotePrefix="0" xfId="0">
      <alignment horizontal="center" vertical="center" wrapText="1"/>
    </xf>
    <xf numFmtId="169" fontId="8" fillId="3" borderId="0" applyAlignment="1" pivotButton="0" quotePrefix="0" xfId="0">
      <alignment horizontal="center" vertical="center" wrapText="1"/>
    </xf>
    <xf numFmtId="167" fontId="8" fillId="3" borderId="2" applyAlignment="1" pivotButton="0" quotePrefix="0" xfId="0">
      <alignment horizontal="center" vertical="center" wrapText="1"/>
    </xf>
    <xf numFmtId="168" fontId="8" fillId="3" borderId="2" applyAlignment="1" pivotButton="0" quotePrefix="0" xfId="0">
      <alignment horizontal="center" vertical="center" wrapText="1"/>
    </xf>
    <xf numFmtId="169" fontId="8" fillId="3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4" borderId="3" applyAlignment="1" pivotButton="0" quotePrefix="0" xfId="0">
      <alignment horizontal="left" vertical="center" wrapText="1"/>
    </xf>
    <xf numFmtId="0" fontId="8" fillId="5" borderId="35" applyAlignment="1" pivotButton="0" quotePrefix="0" xfId="0">
      <alignment horizontal="center" vertical="center" wrapText="1"/>
    </xf>
    <xf numFmtId="0" fontId="0" fillId="0" borderId="20" pivotButton="0" quotePrefix="0" xfId="0"/>
    <xf numFmtId="0" fontId="8" fillId="5" borderId="16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72" pivotButton="0" quotePrefix="0" xfId="0"/>
    <xf numFmtId="0" fontId="8" fillId="5" borderId="36" applyAlignment="1" pivotButton="0" quotePrefix="0" xfId="0">
      <alignment horizontal="center" vertical="center" wrapText="1"/>
    </xf>
    <xf numFmtId="0" fontId="0" fillId="0" borderId="17" pivotButton="0" quotePrefix="0" xfId="0"/>
    <xf numFmtId="3" fontId="8" fillId="6" borderId="3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9" fillId="3" borderId="30" applyAlignment="1" pivotButton="0" quotePrefix="0" xfId="0">
      <alignment horizontal="center" vertical="center" wrapText="1"/>
    </xf>
    <xf numFmtId="0" fontId="0" fillId="0" borderId="31" pivotButton="0" quotePrefix="0" xfId="0"/>
    <xf numFmtId="166" fontId="9" fillId="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9" fillId="3" borderId="24" applyAlignment="1" pivotButton="0" quotePrefix="0" xfId="0">
      <alignment horizontal="center" vertical="center" wrapText="1"/>
    </xf>
    <xf numFmtId="0" fontId="9" fillId="3" borderId="32" applyAlignment="1" pivotButton="0" quotePrefix="0" xfId="0">
      <alignment horizontal="center" vertical="center" wrapText="1"/>
    </xf>
    <xf numFmtId="0" fontId="0" fillId="0" borderId="13" pivotButton="0" quotePrefix="0" xfId="0"/>
    <xf numFmtId="3" fontId="8" fillId="6" borderId="34" applyAlignment="1" pivotButton="0" quotePrefix="0" xfId="0">
      <alignment horizontal="center" vertical="center" wrapText="1"/>
    </xf>
    <xf numFmtId="0" fontId="0" fillId="0" borderId="23" pivotButton="0" quotePrefix="0" xfId="0"/>
    <xf numFmtId="3" fontId="9" fillId="3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37" pivotButton="0" quotePrefix="0" xfId="0"/>
    <xf numFmtId="0" fontId="0" fillId="0" borderId="11" pivotButton="0" quotePrefix="0" xfId="0"/>
    <xf numFmtId="0" fontId="0" fillId="0" borderId="50" pivotButton="0" quotePrefix="0" xfId="0"/>
    <xf numFmtId="0" fontId="0" fillId="0" borderId="51" pivotButton="0" quotePrefix="0" xfId="0"/>
    <xf numFmtId="0" fontId="9" fillId="3" borderId="3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2" applyAlignment="1" pivotButton="0" quotePrefix="0" xfId="0">
      <alignment horizontal="center"/>
    </xf>
    <xf numFmtId="0" fontId="9" fillId="3" borderId="3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49" pivotButton="0" quotePrefix="0" xfId="0"/>
    <xf numFmtId="0" fontId="0" fillId="0" borderId="27" pivotButton="0" quotePrefix="0" xfId="0"/>
    <xf numFmtId="0" fontId="0" fillId="0" borderId="14" pivotButton="0" quotePrefix="0" xfId="0"/>
    <xf numFmtId="0" fontId="0" fillId="0" borderId="29" pivotButton="0" quotePrefix="0" xfId="0"/>
    <xf numFmtId="0" fontId="9" fillId="3" borderId="18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8" fillId="5" borderId="3" applyAlignment="1" pivotButton="0" quotePrefix="0" xfId="0">
      <alignment horizontal="center" vertical="center" wrapText="1"/>
    </xf>
    <xf numFmtId="166" fontId="9" fillId="3" borderId="3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center" wrapText="1"/>
    </xf>
    <xf numFmtId="3" fontId="9" fillId="3" borderId="30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left" vertical="top" wrapText="1"/>
    </xf>
    <xf numFmtId="0" fontId="10" fillId="11" borderId="85" applyAlignment="1" pivotButton="0" quotePrefix="0" xfId="0">
      <alignment horizontal="center" vertical="center"/>
    </xf>
    <xf numFmtId="0" fontId="10" fillId="11" borderId="55" applyAlignment="1" pivotButton="0" quotePrefix="0" xfId="0">
      <alignment horizontal="left" vertical="center"/>
    </xf>
    <xf numFmtId="0" fontId="13" fillId="6" borderId="59" applyAlignment="1" pivotButton="0" quotePrefix="0" xfId="0">
      <alignment horizontal="left" vertical="center" wrapText="1"/>
    </xf>
    <xf numFmtId="0" fontId="15" fillId="13" borderId="12" applyAlignment="1" pivotButton="0" quotePrefix="0" xfId="0">
      <alignment horizontal="center" vertical="center"/>
    </xf>
    <xf numFmtId="3" fontId="13" fillId="6" borderId="83" applyAlignment="1" pivotButton="0" quotePrefix="0" xfId="0">
      <alignment horizontal="center" vertical="center" wrapText="1"/>
    </xf>
    <xf numFmtId="0" fontId="0" fillId="0" borderId="62" pivotButton="0" quotePrefix="0" xfId="0"/>
    <xf numFmtId="3" fontId="12" fillId="3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14" fontId="12" fillId="3" borderId="3" applyAlignment="1" pivotButton="0" quotePrefix="0" xfId="0">
      <alignment horizontal="center" vertical="center" wrapText="1"/>
    </xf>
    <xf numFmtId="0" fontId="11" fillId="9" borderId="46" applyAlignment="1" pivotButton="0" quotePrefix="0" xfId="0">
      <alignment horizontal="center" vertical="center" wrapText="1"/>
    </xf>
    <xf numFmtId="0" fontId="0" fillId="0" borderId="82" pivotButton="0" quotePrefix="0" xfId="0"/>
    <xf numFmtId="0" fontId="0" fillId="0" borderId="81" pivotButton="0" quotePrefix="0" xfId="0"/>
    <xf numFmtId="0" fontId="12" fillId="3" borderId="59" applyAlignment="1" pivotButton="0" quotePrefix="0" xfId="0">
      <alignment horizontal="center" vertical="center" wrapText="1"/>
    </xf>
    <xf numFmtId="0" fontId="0" fillId="0" borderId="58" pivotButton="0" quotePrefix="0" xfId="0"/>
    <xf numFmtId="0" fontId="13" fillId="6" borderId="30" applyAlignment="1" pivotButton="0" quotePrefix="0" xfId="0">
      <alignment horizontal="center" vertical="center" wrapText="1"/>
    </xf>
    <xf numFmtId="0" fontId="0" fillId="0" borderId="71" pivotButton="0" quotePrefix="0" xfId="0"/>
    <xf numFmtId="2" fontId="12" fillId="3" borderId="3" applyAlignment="1" pivotButton="0" quotePrefix="0" xfId="0">
      <alignment horizontal="center" vertical="center" wrapText="1"/>
    </xf>
    <xf numFmtId="3" fontId="13" fillId="6" borderId="3" applyAlignment="1" pivotButton="0" quotePrefix="0" xfId="0">
      <alignment horizontal="center" vertical="center" wrapText="1"/>
    </xf>
    <xf numFmtId="0" fontId="12" fillId="3" borderId="30" applyAlignment="1" pivotButton="0" quotePrefix="0" xfId="0">
      <alignment horizontal="center" vertical="center" wrapText="1"/>
    </xf>
    <xf numFmtId="49" fontId="12" fillId="3" borderId="3" applyAlignment="1" pivotButton="0" quotePrefix="0" xfId="0">
      <alignment horizontal="center" vertical="center" wrapText="1"/>
    </xf>
    <xf numFmtId="0" fontId="13" fillId="6" borderId="48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49" fontId="12" fillId="3" borderId="68" applyAlignment="1" pivotButton="0" quotePrefix="0" xfId="0">
      <alignment horizontal="center" vertical="center" wrapText="1"/>
    </xf>
    <xf numFmtId="0" fontId="0" fillId="0" borderId="69" pivotButton="0" quotePrefix="0" xfId="0"/>
    <xf numFmtId="169" fontId="13" fillId="6" borderId="44" applyAlignment="1" pivotButton="0" quotePrefix="0" xfId="0">
      <alignment horizontal="center" vertical="center" wrapText="1"/>
    </xf>
    <xf numFmtId="0" fontId="0" fillId="0" borderId="76" pivotButton="0" quotePrefix="0" xfId="0"/>
    <xf numFmtId="167" fontId="13" fillId="6" borderId="44" applyAlignment="1" pivotButton="0" quotePrefix="0" xfId="0">
      <alignment horizontal="center" vertical="center" wrapText="1"/>
    </xf>
    <xf numFmtId="0" fontId="0" fillId="0" borderId="75" pivotButton="0" quotePrefix="0" xfId="0"/>
    <xf numFmtId="10" fontId="12" fillId="3" borderId="3" applyAlignment="1" pivotButton="0" quotePrefix="0" xfId="0">
      <alignment horizontal="center" vertical="center" wrapText="1"/>
    </xf>
    <xf numFmtId="0" fontId="13" fillId="6" borderId="6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3" pivotButton="0" quotePrefix="0" xfId="0"/>
    <xf numFmtId="0" fontId="0" fillId="0" borderId="74" pivotButton="0" quotePrefix="0" xfId="0"/>
    <xf numFmtId="0" fontId="11" fillId="9" borderId="41" applyAlignment="1" pivotButton="0" quotePrefix="0" xfId="0">
      <alignment horizontal="center" vertical="center" wrapText="1"/>
    </xf>
    <xf numFmtId="0" fontId="0" fillId="0" borderId="38" pivotButton="0" quotePrefix="0" xfId="0"/>
    <xf numFmtId="0" fontId="12" fillId="3" borderId="47" applyAlignment="1" pivotButton="0" quotePrefix="0" xfId="0">
      <alignment horizontal="center" vertical="center" wrapText="1"/>
    </xf>
    <xf numFmtId="0" fontId="11" fillId="9" borderId="32" applyAlignment="1" pivotButton="0" quotePrefix="0" xfId="0">
      <alignment horizontal="center" vertical="center" wrapText="1"/>
    </xf>
    <xf numFmtId="49" fontId="13" fillId="6" borderId="70" applyAlignment="1" pivotButton="0" quotePrefix="0" xfId="0">
      <alignment horizontal="center" vertical="center" wrapText="1"/>
    </xf>
    <xf numFmtId="0" fontId="0" fillId="0" borderId="77" pivotButton="0" quotePrefix="0" xfId="0"/>
    <xf numFmtId="0" fontId="11" fillId="9" borderId="35" applyAlignment="1" pivotButton="0" quotePrefix="0" xfId="0">
      <alignment horizontal="center" vertical="center" wrapText="1"/>
    </xf>
    <xf numFmtId="167" fontId="13" fillId="6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169" fontId="13" fillId="6" borderId="83" applyAlignment="1" pivotButton="0" quotePrefix="0" xfId="0">
      <alignment horizontal="center" vertical="center" wrapText="1"/>
    </xf>
    <xf numFmtId="0" fontId="13" fillId="6" borderId="83" applyAlignment="1" pivotButton="0" quotePrefix="0" xfId="0">
      <alignment horizontal="center" vertical="center" wrapText="1"/>
    </xf>
    <xf numFmtId="0" fontId="13" fillId="6" borderId="45" applyAlignment="1" pivotButton="0" quotePrefix="0" xfId="0">
      <alignment horizontal="center" vertical="center" wrapText="1"/>
    </xf>
    <xf numFmtId="0" fontId="0" fillId="0" borderId="84" pivotButton="0" quotePrefix="0" xfId="0"/>
    <xf numFmtId="0" fontId="10" fillId="4" borderId="85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13" fillId="6" borderId="44" applyAlignment="1" pivotButton="0" quotePrefix="0" xfId="0">
      <alignment horizontal="center" vertical="center" wrapText="1"/>
    </xf>
    <xf numFmtId="0" fontId="11" fillId="9" borderId="36" applyAlignment="1" pivotButton="0" quotePrefix="0" xfId="0">
      <alignment horizontal="center" vertical="center" wrapText="1"/>
    </xf>
    <xf numFmtId="169" fontId="13" fillId="6" borderId="3" applyAlignment="1" pivotButton="0" quotePrefix="0" xfId="0">
      <alignment horizontal="center" vertical="center" wrapText="1"/>
    </xf>
    <xf numFmtId="3" fontId="13" fillId="6" borderId="44" applyAlignment="1" pivotButton="0" quotePrefix="0" xfId="0">
      <alignment horizontal="center" vertical="center" wrapText="1"/>
    </xf>
    <xf numFmtId="0" fontId="11" fillId="9" borderId="57" applyAlignment="1" pivotButton="0" quotePrefix="0" xfId="0">
      <alignment horizontal="center" vertical="center" wrapText="1"/>
    </xf>
    <xf numFmtId="0" fontId="13" fillId="6" borderId="47" applyAlignment="1" pivotButton="0" quotePrefix="0" xfId="0">
      <alignment horizontal="center" vertical="center" wrapText="1"/>
    </xf>
    <xf numFmtId="10" fontId="13" fillId="6" borderId="44" applyAlignment="1" pivotButton="0" quotePrefix="0" xfId="0">
      <alignment horizontal="center" vertical="center" wrapText="1"/>
    </xf>
    <xf numFmtId="0" fontId="13" fillId="6" borderId="59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4" pivotButton="0" quotePrefix="0" xfId="0"/>
    <xf numFmtId="0" fontId="0" fillId="0" borderId="39" pivotButton="0" quotePrefix="0" xfId="0"/>
    <xf numFmtId="0" fontId="0" fillId="0" borderId="40" pivotButton="0" quotePrefix="0" xfId="0"/>
    <xf numFmtId="0" fontId="14" fillId="10" borderId="2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 wrapText="1"/>
    </xf>
    <xf numFmtId="164" fontId="8" fillId="6" borderId="26" applyAlignment="1" pivotButton="0" quotePrefix="0" xfId="0">
      <alignment horizontal="center" vertical="center" wrapText="1"/>
    </xf>
    <xf numFmtId="166" fontId="9" fillId="3" borderId="3" applyAlignment="1" pivotButton="0" quotePrefix="0" xfId="0">
      <alignment horizontal="center" vertical="center" wrapText="1"/>
    </xf>
    <xf numFmtId="165" fontId="4" fillId="0" borderId="0" pivotButton="0" quotePrefix="0" xfId="1"/>
    <xf numFmtId="166" fontId="4" fillId="0" borderId="0" pivotButton="0" quotePrefix="0" xfId="0"/>
    <xf numFmtId="166" fontId="9" fillId="3" borderId="32" applyAlignment="1" pivotButton="0" quotePrefix="0" xfId="0">
      <alignment horizontal="center" vertical="center" wrapText="1"/>
    </xf>
    <xf numFmtId="166" fontId="4" fillId="0" borderId="0" pivotButton="0" quotePrefix="0" xfId="1"/>
    <xf numFmtId="167" fontId="13" fillId="6" borderId="3" applyAlignment="1" pivotButton="0" quotePrefix="0" xfId="0">
      <alignment horizontal="center" vertical="center" wrapText="1"/>
    </xf>
    <xf numFmtId="169" fontId="13" fillId="6" borderId="3" applyAlignment="1" pivotButton="0" quotePrefix="0" xfId="0">
      <alignment horizontal="center" vertical="center" wrapText="1"/>
    </xf>
    <xf numFmtId="167" fontId="13" fillId="6" borderId="44" applyAlignment="1" pivotButton="0" quotePrefix="0" xfId="0">
      <alignment horizontal="center" vertical="center" wrapText="1"/>
    </xf>
    <xf numFmtId="169" fontId="13" fillId="6" borderId="83" applyAlignment="1" pivotButton="0" quotePrefix="0" xfId="0">
      <alignment horizontal="center" vertical="center" wrapText="1"/>
    </xf>
    <xf numFmtId="167" fontId="8" fillId="3" borderId="0" applyAlignment="1" pivotButton="0" quotePrefix="0" xfId="0">
      <alignment horizontal="center" vertical="center" wrapText="1"/>
    </xf>
    <xf numFmtId="168" fontId="8" fillId="3" borderId="0" applyAlignment="1" pivotButton="0" quotePrefix="0" xfId="0">
      <alignment horizontal="center" vertical="center" wrapText="1"/>
    </xf>
    <xf numFmtId="169" fontId="8" fillId="3" borderId="0" applyAlignment="1" pivotButton="0" quotePrefix="0" xfId="0">
      <alignment horizontal="center" vertical="center" wrapText="1"/>
    </xf>
    <xf numFmtId="167" fontId="8" fillId="3" borderId="2" applyAlignment="1" pivotButton="0" quotePrefix="0" xfId="0">
      <alignment horizontal="center" vertical="center" wrapText="1"/>
    </xf>
    <xf numFmtId="168" fontId="8" fillId="3" borderId="2" applyAlignment="1" pivotButton="0" quotePrefix="0" xfId="0">
      <alignment horizontal="center" vertical="center" wrapText="1"/>
    </xf>
    <xf numFmtId="169" fontId="8" fillId="3" borderId="2" applyAlignment="1" pivotButton="0" quotePrefix="0" xfId="0">
      <alignment horizontal="center" vertical="center" wrapText="1"/>
    </xf>
    <xf numFmtId="169" fontId="13" fillId="6" borderId="44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</cellXfs>
  <cellStyles count="4">
    <cellStyle name="표준" xfId="0" builtinId="0"/>
    <cellStyle name="쉼표 [0]" xfId="1"/>
    <cellStyle name="백분율" xfId="2"/>
    <cellStyle name="표준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style="103" min="1" max="1"/>
    <col width="10" customWidth="1" style="103" min="2" max="2"/>
    <col width="13" customWidth="1" style="103" min="3" max="3"/>
    <col width="18" customWidth="1" style="103" min="4" max="4"/>
    <col width="12" customWidth="1" style="103" min="5" max="5"/>
    <col width="9" customWidth="1" style="103" min="6" max="6"/>
    <col width="14" customWidth="1" style="103" min="7" max="7"/>
    <col width="15" customWidth="1" style="103" min="8" max="8"/>
    <col width="13" customWidth="1" style="103" min="9" max="9"/>
    <col width="24" customWidth="1" style="103" min="10" max="10"/>
    <col width="9" customWidth="1" style="103" min="11" max="11"/>
    <col width="22" customWidth="1" style="103" min="12" max="12"/>
  </cols>
  <sheetData>
    <row r="1">
      <c r="A1" s="143" t="inlineStr">
        <is>
          <t>경기도 남양주시 퇴계원읍 퇴계원리 311-1·314-49 — 인근 상업용 부동산 시세조사 (반경 1km)</t>
        </is>
      </c>
    </row>
    <row r="2">
      <c r="A2" s="140" t="inlineStr">
        <is>
          <t>대상물건: 토지 468.0㎡(141.6평) / 건물 657.9㎡(199.0평)  ·  수집: 국토부 실거래·네이버부동산·탱크옥션(매각·매각허가) / 2026-06 기준</t>
        </is>
      </c>
    </row>
    <row r="3">
      <c r="A3" s="141" t="inlineStr">
        <is>
          <t>◆ 요약: 토지 평당시세 약 1,565만원(중심상권·역세권 1,990~3,050만 / 일반주거 근생부지 1,000~1,570만) · 건물 통매매 평당(연면적) 약 1,780만 · 상가 임대수익률 약 3.6~4.1%(단지내상가 7~8%)</t>
        </is>
      </c>
    </row>
    <row r="5">
      <c r="A5" s="141" t="inlineStr">
        <is>
          <t>1) 인근 실거래가 — 국토부 실거래가(상업·업무용 매매), 퇴계원리 반경 1km / 단위: 만원</t>
        </is>
      </c>
    </row>
    <row r="6">
      <c r="A6" s="56" t="inlineStr">
        <is>
          <t>no</t>
        </is>
      </c>
      <c r="B6" s="56" t="inlineStr">
        <is>
          <t>분류</t>
        </is>
      </c>
      <c r="C6" s="56" t="inlineStr">
        <is>
          <t>매매일자</t>
        </is>
      </c>
      <c r="D6" s="56" t="inlineStr">
        <is>
          <t>주소(지번)</t>
        </is>
      </c>
      <c r="E6" s="56" t="inlineStr">
        <is>
          <t>종류/층</t>
        </is>
      </c>
      <c r="F6" s="56" t="inlineStr">
        <is>
          <t>전용(평)</t>
        </is>
      </c>
      <c r="G6" s="56" t="inlineStr">
        <is>
          <t>매매가(만원)</t>
        </is>
      </c>
      <c r="H6" s="56" t="inlineStr">
        <is>
          <t>평당가(만원/평)</t>
        </is>
      </c>
      <c r="I6" s="56" t="inlineStr">
        <is>
          <t>용도지역</t>
        </is>
      </c>
      <c r="J6" s="56" t="inlineStr">
        <is>
          <t>비고</t>
        </is>
      </c>
    </row>
    <row r="7">
      <c r="A7" s="62" t="n">
        <v>1</v>
      </c>
      <c r="B7" s="62" t="inlineStr">
        <is>
          <t>층/대형</t>
        </is>
      </c>
      <c r="C7" s="62" t="inlineStr">
        <is>
          <t>2024.12.06</t>
        </is>
      </c>
      <c r="D7" s="62" t="inlineStr">
        <is>
          <t>퇴계원리 255-24</t>
        </is>
      </c>
      <c r="E7" s="62" t="inlineStr">
        <is>
          <t>제1종근린생활 5층</t>
        </is>
      </c>
      <c r="F7" s="57" t="n">
        <v>38.6</v>
      </c>
      <c r="G7" s="58" t="n">
        <v>62000</v>
      </c>
      <c r="H7" s="58" t="n">
        <v>1606</v>
      </c>
      <c r="I7" s="62" t="inlineStr">
        <is>
          <t>제2종일반주거</t>
        </is>
      </c>
      <c r="J7" s="62" t="inlineStr">
        <is>
          <t>집합·퇴계원로 (316m)</t>
        </is>
      </c>
    </row>
    <row r="8">
      <c r="A8" s="62" t="n">
        <v>2</v>
      </c>
      <c r="B8" s="62" t="inlineStr">
        <is>
          <t>층/대형</t>
        </is>
      </c>
      <c r="C8" s="62" t="inlineStr">
        <is>
          <t>2026.03.12</t>
        </is>
      </c>
      <c r="D8" s="62" t="inlineStr">
        <is>
          <t>퇴계원리 255-24</t>
        </is>
      </c>
      <c r="E8" s="62" t="inlineStr">
        <is>
          <t>제1종근린생활 2층</t>
        </is>
      </c>
      <c r="F8" s="57" t="n">
        <v>42.24</v>
      </c>
      <c r="G8" s="58" t="n">
        <v>87800</v>
      </c>
      <c r="H8" s="58" t="n">
        <v>2078</v>
      </c>
      <c r="I8" s="62" t="inlineStr">
        <is>
          <t>제2종일반주거</t>
        </is>
      </c>
      <c r="J8" s="62" t="inlineStr">
        <is>
          <t>집합·퇴계원로 (316m)</t>
        </is>
      </c>
    </row>
    <row r="9">
      <c r="A9" s="62" t="n">
        <v>3</v>
      </c>
      <c r="B9" s="62" t="inlineStr">
        <is>
          <t>층/대형</t>
        </is>
      </c>
      <c r="C9" s="62" t="inlineStr">
        <is>
          <t>2026.03.12</t>
        </is>
      </c>
      <c r="D9" s="62" t="inlineStr">
        <is>
          <t>퇴계원리 255-24</t>
        </is>
      </c>
      <c r="E9" s="62" t="inlineStr">
        <is>
          <t>제1종근린생활 2층</t>
        </is>
      </c>
      <c r="F9" s="57" t="n">
        <v>55.87</v>
      </c>
      <c r="G9" s="58" t="n">
        <v>69200</v>
      </c>
      <c r="H9" s="58" t="n">
        <v>1239</v>
      </c>
      <c r="I9" s="62" t="inlineStr">
        <is>
          <t>제2종일반주거</t>
        </is>
      </c>
      <c r="J9" s="62" t="inlineStr">
        <is>
          <t>집합·퇴계원로 (316m)</t>
        </is>
      </c>
    </row>
    <row r="10">
      <c r="A10" s="62" t="n">
        <v>4</v>
      </c>
      <c r="B10" s="62" t="inlineStr">
        <is>
          <t>층/대형</t>
        </is>
      </c>
      <c r="C10" s="62" t="inlineStr">
        <is>
          <t>2026.01.05</t>
        </is>
      </c>
      <c r="D10" s="62" t="inlineStr">
        <is>
          <t>퇴계원리 221</t>
        </is>
      </c>
      <c r="E10" s="62" t="inlineStr">
        <is>
          <t>제1종근린생활 -</t>
        </is>
      </c>
      <c r="F10" s="57" t="n">
        <v>33.54</v>
      </c>
      <c r="G10" s="58" t="n">
        <v>5520</v>
      </c>
      <c r="H10" s="58" t="n">
        <v>165</v>
      </c>
      <c r="I10" s="62" t="inlineStr">
        <is>
          <t>제1종일반주거</t>
        </is>
      </c>
      <c r="J10" s="62" t="inlineStr">
        <is>
          <t>집합·퇴계원로50번길 (371m)</t>
        </is>
      </c>
    </row>
    <row r="11">
      <c r="A11" s="62" t="n">
        <v>5</v>
      </c>
      <c r="B11" s="62" t="inlineStr">
        <is>
          <t>호실별</t>
        </is>
      </c>
      <c r="C11" s="62" t="inlineStr">
        <is>
          <t>2026.02.04</t>
        </is>
      </c>
      <c r="D11" s="62" t="inlineStr">
        <is>
          <t>퇴계원리 255-1</t>
        </is>
      </c>
      <c r="E11" s="62" t="inlineStr">
        <is>
          <t>제2종근린생활 2층</t>
        </is>
      </c>
      <c r="F11" s="57" t="n">
        <v>17.98</v>
      </c>
      <c r="G11" s="58" t="n">
        <v>18500</v>
      </c>
      <c r="H11" s="58" t="n">
        <v>1029</v>
      </c>
      <c r="I11" s="62" t="inlineStr">
        <is>
          <t>제2종일반주거</t>
        </is>
      </c>
      <c r="J11" s="62" t="inlineStr">
        <is>
          <t>집합·퇴계원로 (372m)</t>
        </is>
      </c>
    </row>
    <row r="12">
      <c r="A12" s="62" t="n">
        <v>6</v>
      </c>
      <c r="B12" s="62" t="inlineStr">
        <is>
          <t>호실별</t>
        </is>
      </c>
      <c r="C12" s="62" t="inlineStr">
        <is>
          <t>2024.12.08</t>
        </is>
      </c>
      <c r="D12" s="62" t="inlineStr">
        <is>
          <t>퇴계원리 259-7</t>
        </is>
      </c>
      <c r="E12" s="62" t="inlineStr">
        <is>
          <t>제1종근린생활 -</t>
        </is>
      </c>
      <c r="F12" s="57" t="n">
        <v>9.07</v>
      </c>
      <c r="G12" s="58" t="n">
        <v>10000</v>
      </c>
      <c r="H12" s="58" t="n">
        <v>1102</v>
      </c>
      <c r="I12" s="62" t="inlineStr">
        <is>
          <t>제2종일반주거</t>
        </is>
      </c>
      <c r="J12" s="62" t="inlineStr">
        <is>
          <t>집합·퇴계원로64번길 (491m)</t>
        </is>
      </c>
    </row>
    <row r="13">
      <c r="A13" s="62" t="n">
        <v>7</v>
      </c>
      <c r="B13" s="62" t="inlineStr">
        <is>
          <t>호실별</t>
        </is>
      </c>
      <c r="C13" s="62" t="inlineStr">
        <is>
          <t>2024.03.29</t>
        </is>
      </c>
      <c r="D13" s="62" t="inlineStr">
        <is>
          <t>퇴계원리 111-10</t>
        </is>
      </c>
      <c r="E13" s="62" t="inlineStr">
        <is>
          <t>제2종근린생활 1층</t>
        </is>
      </c>
      <c r="F13" s="57" t="n">
        <v>6.75</v>
      </c>
      <c r="G13" s="58" t="n">
        <v>4500</v>
      </c>
      <c r="H13" s="58" t="n">
        <v>666</v>
      </c>
      <c r="I13" s="62" t="inlineStr">
        <is>
          <t>제3종일반주거</t>
        </is>
      </c>
      <c r="J13" s="62" t="inlineStr">
        <is>
          <t>집합·도제원로 (727m)</t>
        </is>
      </c>
    </row>
    <row r="14">
      <c r="A14" s="62" t="n">
        <v>8</v>
      </c>
      <c r="B14" s="62" t="inlineStr">
        <is>
          <t>통건물</t>
        </is>
      </c>
      <c r="C14" s="62" t="inlineStr">
        <is>
          <t>2025.08.28</t>
        </is>
      </c>
      <c r="D14" s="62" t="inlineStr">
        <is>
          <t>퇴계원리 2**</t>
        </is>
      </c>
      <c r="E14" s="62" t="inlineStr">
        <is>
          <t>제1종근린생활 -</t>
        </is>
      </c>
      <c r="F14" s="57" t="n">
        <v>267.15</v>
      </c>
      <c r="G14" s="58" t="n">
        <v>416192</v>
      </c>
      <c r="H14" s="58" t="n">
        <v>1558</v>
      </c>
      <c r="I14" s="62" t="inlineStr">
        <is>
          <t>제1종일반주거</t>
        </is>
      </c>
      <c r="J14" s="62" t="inlineStr">
        <is>
          <t>일반·퇴계원로6번길 (리내)</t>
        </is>
      </c>
    </row>
    <row r="15">
      <c r="A15" s="62" t="n">
        <v>9</v>
      </c>
      <c r="B15" s="62" t="inlineStr">
        <is>
          <t>통건물</t>
        </is>
      </c>
      <c r="C15" s="62" t="inlineStr">
        <is>
          <t>2025.05.30</t>
        </is>
      </c>
      <c r="D15" s="62" t="inlineStr">
        <is>
          <t>퇴계원리 5*</t>
        </is>
      </c>
      <c r="E15" s="62" t="inlineStr">
        <is>
          <t>제1종근린생활 -</t>
        </is>
      </c>
      <c r="F15" s="57" t="n">
        <v>119.65</v>
      </c>
      <c r="G15" s="58" t="n">
        <v>120800</v>
      </c>
      <c r="H15" s="58" t="n">
        <v>1010</v>
      </c>
      <c r="I15" s="62" t="inlineStr">
        <is>
          <t>제2종일반주거</t>
        </is>
      </c>
      <c r="J15" s="62" t="inlineStr">
        <is>
          <t>일반·퇴계원로 (리내)</t>
        </is>
      </c>
    </row>
    <row r="16">
      <c r="A16" s="62" t="n">
        <v>10</v>
      </c>
      <c r="B16" s="62" t="inlineStr">
        <is>
          <t>통건물</t>
        </is>
      </c>
      <c r="C16" s="62" t="inlineStr">
        <is>
          <t>2024.08.01</t>
        </is>
      </c>
      <c r="D16" s="62" t="inlineStr">
        <is>
          <t>퇴계원리 3**</t>
        </is>
      </c>
      <c r="E16" s="62" t="inlineStr">
        <is>
          <t>제2종근린생활 -</t>
        </is>
      </c>
      <c r="F16" s="57" t="n">
        <v>179.68</v>
      </c>
      <c r="G16" s="58" t="n">
        <v>350000</v>
      </c>
      <c r="H16" s="58" t="n">
        <v>1948</v>
      </c>
      <c r="I16" s="62" t="inlineStr">
        <is>
          <t>제2종일반주거</t>
        </is>
      </c>
      <c r="J16" s="62" t="inlineStr">
        <is>
          <t>일반·퇴계원로 (리내)</t>
        </is>
      </c>
    </row>
    <row r="17">
      <c r="A17" s="62" t="n">
        <v>11</v>
      </c>
      <c r="B17" s="62" t="inlineStr">
        <is>
          <t>통건물</t>
        </is>
      </c>
      <c r="C17" s="62" t="inlineStr">
        <is>
          <t>2024.05.22</t>
        </is>
      </c>
      <c r="D17" s="62" t="inlineStr">
        <is>
          <t>퇴계원리 2**</t>
        </is>
      </c>
      <c r="E17" s="62" t="inlineStr">
        <is>
          <t>제2종근린생활 -</t>
        </is>
      </c>
      <c r="F17" s="57" t="n">
        <v>99.53</v>
      </c>
      <c r="G17" s="58" t="n">
        <v>290000</v>
      </c>
      <c r="H17" s="58" t="n">
        <v>2914</v>
      </c>
      <c r="I17" s="62" t="inlineStr">
        <is>
          <t>제2종일반주거</t>
        </is>
      </c>
      <c r="J17" s="62" t="inlineStr">
        <is>
          <t>일반· (리내)</t>
        </is>
      </c>
    </row>
    <row r="18">
      <c r="A18" s="62" t="n">
        <v>12</v>
      </c>
      <c r="B18" s="62" t="inlineStr">
        <is>
          <t>층/대형</t>
        </is>
      </c>
      <c r="C18" s="62" t="inlineStr">
        <is>
          <t>2023.10.10</t>
        </is>
      </c>
      <c r="D18" s="62" t="inlineStr">
        <is>
          <t>퇴계원리 2**</t>
        </is>
      </c>
      <c r="E18" s="62" t="inlineStr">
        <is>
          <t>제2종근린생활 -</t>
        </is>
      </c>
      <c r="F18" s="57" t="n">
        <v>33.16</v>
      </c>
      <c r="G18" s="58" t="n">
        <v>19000</v>
      </c>
      <c r="H18" s="58" t="n">
        <v>573</v>
      </c>
      <c r="I18" s="62" t="inlineStr">
        <is>
          <t>제2종일반주거</t>
        </is>
      </c>
      <c r="J18" s="62" t="inlineStr">
        <is>
          <t>집합·퇴계원로 (리내)</t>
        </is>
      </c>
    </row>
    <row r="19">
      <c r="A19" s="62" t="n">
        <v>13</v>
      </c>
      <c r="B19" s="62" t="inlineStr">
        <is>
          <t>통건물</t>
        </is>
      </c>
      <c r="C19" s="62" t="inlineStr">
        <is>
          <t>2023.04.28</t>
        </is>
      </c>
      <c r="D19" s="62" t="inlineStr">
        <is>
          <t>퇴계원리 9*</t>
        </is>
      </c>
      <c r="E19" s="62" t="inlineStr">
        <is>
          <t>제2종근린생활 -</t>
        </is>
      </c>
      <c r="F19" s="57" t="n">
        <v>1510.88</v>
      </c>
      <c r="G19" s="58" t="n">
        <v>630000</v>
      </c>
      <c r="H19" s="58" t="n">
        <v>417</v>
      </c>
      <c r="I19" s="62" t="inlineStr">
        <is>
          <t>제1종일반주거</t>
        </is>
      </c>
      <c r="J19" s="62" t="inlineStr">
        <is>
          <t>일반·퇴계원로 (리내)</t>
        </is>
      </c>
    </row>
    <row r="20">
      <c r="A20" s="62" t="n">
        <v>14</v>
      </c>
      <c r="B20" s="62" t="inlineStr">
        <is>
          <t>통건물</t>
        </is>
      </c>
      <c r="C20" s="62" t="inlineStr">
        <is>
          <t>2023.04.28</t>
        </is>
      </c>
      <c r="D20" s="62" t="inlineStr">
        <is>
          <t>퇴계원리 9*</t>
        </is>
      </c>
      <c r="E20" s="62" t="inlineStr">
        <is>
          <t>제2종근린생활 -</t>
        </is>
      </c>
      <c r="F20" s="57" t="n">
        <v>1510.88</v>
      </c>
      <c r="G20" s="58" t="n">
        <v>95000</v>
      </c>
      <c r="H20" s="58" t="n">
        <v>63</v>
      </c>
      <c r="I20" s="62" t="inlineStr">
        <is>
          <t>제1종일반주거</t>
        </is>
      </c>
      <c r="J20" s="62" t="inlineStr">
        <is>
          <t>일반·퇴계원로 (리내)</t>
        </is>
      </c>
    </row>
    <row r="21">
      <c r="A21" s="62" t="n">
        <v>15</v>
      </c>
      <c r="B21" s="62" t="inlineStr">
        <is>
          <t>통건물</t>
        </is>
      </c>
      <c r="C21" s="62" t="inlineStr">
        <is>
          <t>2023.04.28</t>
        </is>
      </c>
      <c r="D21" s="62" t="inlineStr">
        <is>
          <t>퇴계원리 9*</t>
        </is>
      </c>
      <c r="E21" s="62" t="inlineStr">
        <is>
          <t>제2종근린생활 -</t>
        </is>
      </c>
      <c r="F21" s="57" t="n">
        <v>1510.88</v>
      </c>
      <c r="G21" s="58" t="n">
        <v>135000</v>
      </c>
      <c r="H21" s="58" t="n">
        <v>89</v>
      </c>
      <c r="I21" s="62" t="inlineStr">
        <is>
          <t>제1종일반주거</t>
        </is>
      </c>
      <c r="J21" s="62" t="inlineStr">
        <is>
          <t>일반·퇴계원로 (리내)</t>
        </is>
      </c>
    </row>
    <row r="22">
      <c r="A22" s="62" t="n">
        <v>16</v>
      </c>
      <c r="B22" s="62" t="inlineStr">
        <is>
          <t>층/대형</t>
        </is>
      </c>
      <c r="C22" s="62" t="inlineStr">
        <is>
          <t>2023.02.03</t>
        </is>
      </c>
      <c r="D22" s="62" t="inlineStr">
        <is>
          <t>퇴계원리 2**</t>
        </is>
      </c>
      <c r="E22" s="62" t="inlineStr">
        <is>
          <t>제1종근린생활 3층</t>
        </is>
      </c>
      <c r="F22" s="57" t="n">
        <v>31.03</v>
      </c>
      <c r="G22" s="58" t="n">
        <v>31500</v>
      </c>
      <c r="H22" s="58" t="n">
        <v>1015</v>
      </c>
      <c r="I22" s="62" t="inlineStr">
        <is>
          <t>제2종일반주거</t>
        </is>
      </c>
      <c r="J22" s="62" t="inlineStr">
        <is>
          <t>집합·퇴계원로 (리내)</t>
        </is>
      </c>
    </row>
    <row r="23">
      <c r="A23" s="62" t="n">
        <v>17</v>
      </c>
      <c r="B23" s="62" t="inlineStr">
        <is>
          <t>호실별</t>
        </is>
      </c>
      <c r="C23" s="62" t="inlineStr">
        <is>
          <t>2022.06.01</t>
        </is>
      </c>
      <c r="D23" s="62" t="inlineStr">
        <is>
          <t>퇴계원리 2**</t>
        </is>
      </c>
      <c r="E23" s="62" t="inlineStr">
        <is>
          <t>제1종근린생활 1층</t>
        </is>
      </c>
      <c r="F23" s="57" t="n">
        <v>9.800000000000001</v>
      </c>
      <c r="G23" s="58" t="n">
        <v>59500</v>
      </c>
      <c r="H23" s="58" t="n">
        <v>6071</v>
      </c>
      <c r="I23" s="62" t="inlineStr">
        <is>
          <t>제2종일반주거</t>
        </is>
      </c>
      <c r="J23" s="62" t="inlineStr">
        <is>
          <t>집합·퇴계원로 (리내)</t>
        </is>
      </c>
    </row>
    <row r="24">
      <c r="A24" s="62" t="n">
        <v>18</v>
      </c>
      <c r="B24" s="62" t="inlineStr">
        <is>
          <t>호실별</t>
        </is>
      </c>
      <c r="C24" s="62" t="inlineStr">
        <is>
          <t>2022.05.26</t>
        </is>
      </c>
      <c r="D24" s="62" t="inlineStr">
        <is>
          <t>퇴계원리 2**</t>
        </is>
      </c>
      <c r="E24" s="62" t="inlineStr">
        <is>
          <t>제2종근린생활 1층</t>
        </is>
      </c>
      <c r="F24" s="57" t="n">
        <v>14.35</v>
      </c>
      <c r="G24" s="58" t="n">
        <v>82000</v>
      </c>
      <c r="H24" s="58" t="n">
        <v>5713</v>
      </c>
      <c r="I24" s="62" t="inlineStr">
        <is>
          <t>제2종일반주거</t>
        </is>
      </c>
      <c r="J24" s="62" t="inlineStr">
        <is>
          <t>집합·퇴계원로 (리내)</t>
        </is>
      </c>
    </row>
    <row r="25">
      <c r="A25" s="62" t="n">
        <v>19</v>
      </c>
      <c r="B25" s="62" t="inlineStr">
        <is>
          <t>통건물</t>
        </is>
      </c>
      <c r="C25" s="62" t="inlineStr">
        <is>
          <t>2022.05.02</t>
        </is>
      </c>
      <c r="D25" s="62" t="inlineStr">
        <is>
          <t>퇴계원리 2**</t>
        </is>
      </c>
      <c r="E25" s="62" t="inlineStr">
        <is>
          <t>제1종근린생활 -</t>
        </is>
      </c>
      <c r="F25" s="57" t="n">
        <v>59.79</v>
      </c>
      <c r="G25" s="58" t="n">
        <v>270000</v>
      </c>
      <c r="H25" s="58" t="n">
        <v>4516</v>
      </c>
      <c r="I25" s="62" t="inlineStr">
        <is>
          <t>일반상업</t>
        </is>
      </c>
      <c r="J25" s="62" t="inlineStr">
        <is>
          <t>일반·경춘북로 (리내)</t>
        </is>
      </c>
    </row>
    <row r="26">
      <c r="A26" s="142" t="inlineStr">
        <is>
          <t>퇴계원리 상업용 매매 실거래 평균</t>
        </is>
      </c>
      <c r="B26" s="97" t="n"/>
      <c r="C26" s="97" t="n"/>
      <c r="D26" s="97" t="n"/>
      <c r="E26" s="97" t="n"/>
      <c r="F26" s="91" t="n"/>
      <c r="G26" s="59">
        <f>IFERROR(AVERAGE(G7:G25),0)</f>
        <v/>
      </c>
      <c r="H26" s="59">
        <f>IFERROR(AVERAGE(H7:H25),0)</f>
        <v/>
      </c>
      <c r="I26" s="198" t="inlineStr"/>
      <c r="J26" s="198" t="inlineStr"/>
    </row>
    <row r="28">
      <c r="A28" s="141" t="inlineStr">
        <is>
          <t>2) 인근 네이버 매물(호가) — 통건물/호실별/층별, 퇴계원리 반경 1km</t>
        </is>
      </c>
    </row>
    <row r="29">
      <c r="A29" s="56" t="inlineStr">
        <is>
          <t>no</t>
        </is>
      </c>
      <c r="B29" s="56" t="inlineStr">
        <is>
          <t>분류</t>
        </is>
      </c>
      <c r="C29" s="56" t="inlineStr">
        <is>
          <t>종류</t>
        </is>
      </c>
      <c r="D29" s="56" t="inlineStr">
        <is>
          <t>주소(지번)</t>
        </is>
      </c>
      <c r="E29" s="56" t="inlineStr">
        <is>
          <t>층</t>
        </is>
      </c>
      <c r="F29" s="56" t="inlineStr">
        <is>
          <t>전용(평)</t>
        </is>
      </c>
      <c r="G29" s="56" t="inlineStr">
        <is>
          <t>매매호가</t>
        </is>
      </c>
      <c r="H29" s="56" t="inlineStr">
        <is>
          <t>보증금/월세(만원)</t>
        </is>
      </c>
      <c r="I29" s="56" t="inlineStr">
        <is>
          <t>사용승인</t>
        </is>
      </c>
      <c r="J29" s="56" t="inlineStr">
        <is>
          <t>비고</t>
        </is>
      </c>
    </row>
    <row r="30">
      <c r="A30" s="62" t="n">
        <v>1</v>
      </c>
      <c r="B30" s="62" t="inlineStr">
        <is>
          <t>통건물(빌딩·통매매)</t>
        </is>
      </c>
      <c r="C30" s="62" t="inlineStr">
        <is>
          <t>상가건물</t>
        </is>
      </c>
      <c r="D30" s="62" t="inlineStr">
        <is>
          <t>퇴계원리 218-50</t>
        </is>
      </c>
      <c r="E30" s="62" t="inlineStr">
        <is>
          <t>4/-</t>
        </is>
      </c>
      <c r="F30" s="57" t="n">
        <v>343.03</v>
      </c>
      <c r="G30" s="62" t="inlineStr">
        <is>
          <t>30억 9,507</t>
        </is>
      </c>
      <c r="H30" s="62" t="inlineStr">
        <is>
          <t>-</t>
        </is>
      </c>
      <c r="I30" s="62" t="inlineStr">
        <is>
          <t>2007.11.08</t>
        </is>
      </c>
      <c r="J30" s="62" t="inlineStr">
        <is>
          <t>한국공인중개사협회 (35m)</t>
        </is>
      </c>
    </row>
    <row r="31">
      <c r="A31" s="62" t="n">
        <v>2</v>
      </c>
      <c r="B31" s="62" t="inlineStr">
        <is>
          <t>통건물(빌딩·통매매)</t>
        </is>
      </c>
      <c r="C31" s="62" t="inlineStr">
        <is>
          <t>상가건물 동아빌딩</t>
        </is>
      </c>
      <c r="D31" s="62" t="inlineStr">
        <is>
          <t>퇴계원리 255-41</t>
        </is>
      </c>
      <c r="E31" s="62" t="inlineStr">
        <is>
          <t>전체층/4</t>
        </is>
      </c>
      <c r="F31" s="57" t="n">
        <v>164.86</v>
      </c>
      <c r="G31" s="62" t="inlineStr">
        <is>
          <t>39억</t>
        </is>
      </c>
      <c r="H31" s="62" t="inlineStr">
        <is>
          <t>-</t>
        </is>
      </c>
      <c r="I31" s="62" t="inlineStr">
        <is>
          <t>2024.03.29</t>
        </is>
      </c>
      <c r="J31" s="62" t="inlineStr">
        <is>
          <t>알터 (291m)</t>
        </is>
      </c>
    </row>
    <row r="32">
      <c r="A32" s="62" t="n">
        <v>3</v>
      </c>
      <c r="B32" s="62" t="inlineStr">
        <is>
          <t>통건물(빌딩·통매매)</t>
        </is>
      </c>
      <c r="C32" s="62" t="inlineStr">
        <is>
          <t>상가건물</t>
        </is>
      </c>
      <c r="D32" s="62" t="inlineStr">
        <is>
          <t>퇴계원리 286-9</t>
        </is>
      </c>
      <c r="E32" s="62" t="inlineStr">
        <is>
          <t>1/-</t>
        </is>
      </c>
      <c r="F32" s="57" t="n">
        <v>317.32</v>
      </c>
      <c r="G32" s="62" t="inlineStr">
        <is>
          <t>80억 6,000</t>
        </is>
      </c>
      <c r="H32" s="62" t="inlineStr">
        <is>
          <t>-</t>
        </is>
      </c>
      <c r="I32" s="62" t="inlineStr">
        <is>
          <t>2007.04.10</t>
        </is>
      </c>
      <c r="J32" s="62" t="inlineStr">
        <is>
          <t>연 317.6P 진입로 좋습니다.  실입주 협의가능 · 부동산뱅크 (294m)</t>
        </is>
      </c>
    </row>
    <row r="33">
      <c r="A33" s="62" t="n">
        <v>4</v>
      </c>
      <c r="B33" s="62" t="inlineStr">
        <is>
          <t>통건물(빌딩·통매매)</t>
        </is>
      </c>
      <c r="C33" s="62" t="inlineStr">
        <is>
          <t>빌딩</t>
        </is>
      </c>
      <c r="D33" s="62" t="inlineStr">
        <is>
          <t>퇴계원리 199-38</t>
        </is>
      </c>
      <c r="E33" s="62" t="inlineStr">
        <is>
          <t>1/-</t>
        </is>
      </c>
      <c r="F33" s="57" t="n">
        <v>38.72</v>
      </c>
      <c r="G33" s="62" t="inlineStr">
        <is>
          <t>32억 4,000</t>
        </is>
      </c>
      <c r="H33" s="62" t="inlineStr">
        <is>
          <t>-</t>
        </is>
      </c>
      <c r="I33" s="62" t="inlineStr">
        <is>
          <t>2008.06.19</t>
        </is>
      </c>
      <c r="J33" s="62" t="inlineStr">
        <is>
          <t>퇴계원역 1번 출구에서 도보 약 2분 거리 위치 · 한경부동산 (517m)</t>
        </is>
      </c>
    </row>
    <row r="34">
      <c r="A34" s="62" t="n">
        <v>5</v>
      </c>
      <c r="B34" s="62" t="inlineStr">
        <is>
          <t>통건물(빌딩·통매매)</t>
        </is>
      </c>
      <c r="C34" s="62" t="inlineStr">
        <is>
          <t>상가건물</t>
        </is>
      </c>
      <c r="D34" s="62" t="inlineStr">
        <is>
          <t>퇴계원리 199-18</t>
        </is>
      </c>
      <c r="E34" s="62" t="inlineStr">
        <is>
          <t>1/B1</t>
        </is>
      </c>
      <c r="F34" s="57" t="n">
        <v>39.93</v>
      </c>
      <c r="G34" s="62" t="inlineStr">
        <is>
          <t>27억 6,000</t>
        </is>
      </c>
      <c r="H34" s="62" t="inlineStr">
        <is>
          <t>-</t>
        </is>
      </c>
      <c r="I34" s="62" t="inlineStr">
        <is>
          <t>2021.03.31</t>
        </is>
      </c>
      <c r="J34" s="62" t="inlineStr">
        <is>
          <t>투자가치 높은 대단지 수혜지역 · 매경부동산 (580m)</t>
        </is>
      </c>
    </row>
    <row r="35">
      <c r="A35" s="62" t="n">
        <v>6</v>
      </c>
      <c r="B35" s="62" t="inlineStr">
        <is>
          <t>통건물(빌딩·통매매)</t>
        </is>
      </c>
      <c r="C35" s="62" t="inlineStr">
        <is>
          <t>빌딩</t>
        </is>
      </c>
      <c r="D35" s="62" t="inlineStr">
        <is>
          <t>퇴계원리 190-13</t>
        </is>
      </c>
      <c r="E35" s="62" t="inlineStr">
        <is>
          <t>5/-</t>
        </is>
      </c>
      <c r="F35" s="57" t="n">
        <v>259.85</v>
      </c>
      <c r="G35" s="62" t="inlineStr">
        <is>
          <t>30억</t>
        </is>
      </c>
      <c r="H35" s="62" t="inlineStr">
        <is>
          <t>-</t>
        </is>
      </c>
      <c r="I35" s="62" t="inlineStr">
        <is>
          <t>2015.09.24</t>
        </is>
      </c>
      <c r="J35" s="62" t="inlineStr">
        <is>
          <t>역세권, 2종근생다가구 복합 5층빌딩 통매매 · 텐컴즈 (583m)</t>
        </is>
      </c>
    </row>
    <row r="36">
      <c r="A36" s="62" t="n">
        <v>7</v>
      </c>
      <c r="B36" s="62" t="inlineStr">
        <is>
          <t>통건물(빌딩·통매매)</t>
        </is>
      </c>
      <c r="C36" s="62" t="inlineStr">
        <is>
          <t>빌딩</t>
        </is>
      </c>
      <c r="D36" s="62" t="inlineStr">
        <is>
          <t>퇴계원리 70-20</t>
        </is>
      </c>
      <c r="E36" s="62" t="inlineStr">
        <is>
          <t>3/B1</t>
        </is>
      </c>
      <c r="F36" s="57" t="n">
        <v>1404.8</v>
      </c>
      <c r="G36" s="62" t="inlineStr">
        <is>
          <t>250억</t>
        </is>
      </c>
      <c r="H36" s="62" t="inlineStr">
        <is>
          <t>-</t>
        </is>
      </c>
      <c r="I36" s="62" t="inlineStr">
        <is>
          <t>1992.12.31</t>
        </is>
      </c>
      <c r="J36" s="62" t="inlineStr">
        <is>
          <t>사옥 및 신축 추천 매물 · 부동산써브 (874m)</t>
        </is>
      </c>
    </row>
    <row r="37">
      <c r="A37" s="62" t="n">
        <v>8</v>
      </c>
      <c r="B37" s="62" t="inlineStr">
        <is>
          <t>통건물(빌딩·통매매)</t>
        </is>
      </c>
      <c r="C37" s="62" t="inlineStr">
        <is>
          <t>상가건물</t>
        </is>
      </c>
      <c r="D37" s="62" t="inlineStr">
        <is>
          <t>퇴계원리 75-17</t>
        </is>
      </c>
      <c r="E37" s="62" t="inlineStr">
        <is>
          <t>2/B1</t>
        </is>
      </c>
      <c r="F37" s="57" t="n">
        <v>48.7</v>
      </c>
      <c r="G37" s="62" t="inlineStr">
        <is>
          <t>10억</t>
        </is>
      </c>
      <c r="H37" s="62" t="inlineStr">
        <is>
          <t>-</t>
        </is>
      </c>
      <c r="I37" s="62" t="inlineStr">
        <is>
          <t>1995.09.00</t>
        </is>
      </c>
      <c r="J37" s="62" t="inlineStr">
        <is>
          <t>지금까지한번도 월세올리지않음.세안고매매 · 매경부동산 (932m)</t>
        </is>
      </c>
    </row>
    <row r="38">
      <c r="A38" s="62" t="n">
        <v>9</v>
      </c>
      <c r="B38" s="62" t="inlineStr">
        <is>
          <t>통건물(빌딩·통매매)</t>
        </is>
      </c>
      <c r="C38" s="62" t="inlineStr">
        <is>
          <t>상가건물</t>
        </is>
      </c>
      <c r="D38" s="62" t="inlineStr">
        <is>
          <t>퇴계원리 329-17</t>
        </is>
      </c>
      <c r="E38" s="62" t="inlineStr">
        <is>
          <t>2/-</t>
        </is>
      </c>
      <c r="F38" s="57" t="n">
        <v>69.88</v>
      </c>
      <c r="G38" s="62" t="inlineStr">
        <is>
          <t>21억</t>
        </is>
      </c>
      <c r="H38" s="62" t="inlineStr">
        <is>
          <t>-</t>
        </is>
      </c>
      <c r="I38" s="62" t="inlineStr">
        <is>
          <t>2019.02.08</t>
        </is>
      </c>
      <c r="J38" s="62" t="inlineStr">
        <is>
          <t>통상가매매  I 2F I 넓은 마당 I   공실없는상가 · 매경부동산 (255m)</t>
        </is>
      </c>
    </row>
    <row r="39">
      <c r="A39" s="62" t="n">
        <v>10</v>
      </c>
      <c r="B39" s="62" t="inlineStr">
        <is>
          <t>통건물(빌딩·통매매)</t>
        </is>
      </c>
      <c r="C39" s="62" t="inlineStr">
        <is>
          <t>상가건물</t>
        </is>
      </c>
      <c r="D39" s="62" t="inlineStr">
        <is>
          <t>퇴계원리 329-11</t>
        </is>
      </c>
      <c r="E39" s="62" t="inlineStr">
        <is>
          <t>2/-</t>
        </is>
      </c>
      <c r="F39" s="57" t="n">
        <v>69.88</v>
      </c>
      <c r="G39" s="62" t="inlineStr">
        <is>
          <t>22억</t>
        </is>
      </c>
      <c r="H39" s="62" t="inlineStr">
        <is>
          <t>-</t>
        </is>
      </c>
      <c r="I39" s="62" t="inlineStr">
        <is>
          <t>2019.02.08</t>
        </is>
      </c>
      <c r="J39" s="62" t="inlineStr">
        <is>
          <t>애견카페 · 한국공인중개사협회 (260m)</t>
        </is>
      </c>
    </row>
    <row r="40">
      <c r="A40" s="62" t="n">
        <v>11</v>
      </c>
      <c r="B40" s="62" t="inlineStr">
        <is>
          <t>토지(대지)</t>
        </is>
      </c>
      <c r="C40" s="62" t="inlineStr">
        <is>
          <t>대</t>
        </is>
      </c>
      <c r="D40" s="62" t="inlineStr">
        <is>
          <t>퇴계원리 182-4</t>
        </is>
      </c>
      <c r="E40" s="62" t="inlineStr">
        <is>
          <t>-</t>
        </is>
      </c>
      <c r="F40" s="57" t="n"/>
      <c r="G40" s="62" t="inlineStr">
        <is>
          <t>36억</t>
        </is>
      </c>
      <c r="H40" s="62" t="inlineStr">
        <is>
          <t>-</t>
        </is>
      </c>
      <c r="I40" s="62" t="inlineStr">
        <is>
          <t>-</t>
        </is>
      </c>
      <c r="J40" s="62" t="inlineStr">
        <is>
          <t>퇴계원역 I 대로변 I 위치좋은 I 코너 I 유동인구 많은 · 매경부동산 (367m)</t>
        </is>
      </c>
    </row>
    <row r="41">
      <c r="A41" s="62" t="n">
        <v>12</v>
      </c>
      <c r="B41" s="62" t="inlineStr">
        <is>
          <t>토지(대지)</t>
        </is>
      </c>
      <c r="C41" s="62" t="inlineStr">
        <is>
          <t>대</t>
        </is>
      </c>
      <c r="D41" s="62" t="inlineStr">
        <is>
          <t>퇴계원리 228-11</t>
        </is>
      </c>
      <c r="E41" s="62" t="inlineStr">
        <is>
          <t>-</t>
        </is>
      </c>
      <c r="F41" s="57" t="n"/>
      <c r="G41" s="62" t="inlineStr">
        <is>
          <t>39억</t>
        </is>
      </c>
      <c r="H41" s="62" t="inlineStr">
        <is>
          <t>-</t>
        </is>
      </c>
      <c r="I41" s="62" t="inlineStr">
        <is>
          <t>-</t>
        </is>
      </c>
      <c r="J41" s="62" t="inlineStr">
        <is>
          <t>일반상업지역196ㅍ.용적률900.역세권 · 부동산포스 (521m)</t>
        </is>
      </c>
    </row>
    <row r="42">
      <c r="A42" s="62" t="n">
        <v>13</v>
      </c>
      <c r="B42" s="62" t="inlineStr">
        <is>
          <t>토지(대지)</t>
        </is>
      </c>
      <c r="C42" s="62" t="inlineStr">
        <is>
          <t>대</t>
        </is>
      </c>
      <c r="D42" s="62" t="inlineStr">
        <is>
          <t>퇴계원리 199-18</t>
        </is>
      </c>
      <c r="E42" s="62" t="inlineStr">
        <is>
          <t>-</t>
        </is>
      </c>
      <c r="F42" s="57" t="n"/>
      <c r="G42" s="62" t="inlineStr">
        <is>
          <t>24억</t>
        </is>
      </c>
      <c r="H42" s="62" t="inlineStr">
        <is>
          <t>-</t>
        </is>
      </c>
      <c r="I42" s="62" t="inlineStr">
        <is>
          <t>-</t>
        </is>
      </c>
      <c r="J42" s="62" t="inlineStr">
        <is>
          <t>일반상업지역과 제1종일반주거지역, 역세권 · 텐컴즈 (580m)</t>
        </is>
      </c>
    </row>
    <row r="43">
      <c r="A43" s="62" t="n">
        <v>14</v>
      </c>
      <c r="B43" s="62" t="inlineStr">
        <is>
          <t>토지(대지)</t>
        </is>
      </c>
      <c r="C43" s="62" t="inlineStr">
        <is>
          <t>대</t>
        </is>
      </c>
      <c r="D43" s="62" t="inlineStr">
        <is>
          <t>퇴계원리 286-14</t>
        </is>
      </c>
      <c r="E43" s="62" t="inlineStr">
        <is>
          <t>-</t>
        </is>
      </c>
      <c r="F43" s="57" t="n"/>
      <c r="G43" s="62" t="inlineStr">
        <is>
          <t>80억 6,000</t>
        </is>
      </c>
      <c r="H43" s="62" t="inlineStr">
        <is>
          <t>-</t>
        </is>
      </c>
      <c r="I43" s="62" t="inlineStr">
        <is>
          <t>-</t>
        </is>
      </c>
      <c r="J43" s="62" t="inlineStr">
        <is>
          <t>역세권, 제12종일반주거지역, 근생건물있음 · 텐컴즈 (302m)</t>
        </is>
      </c>
    </row>
    <row r="44">
      <c r="A44" s="62" t="n">
        <v>15</v>
      </c>
      <c r="B44" s="62" t="inlineStr">
        <is>
          <t>토지(대지)</t>
        </is>
      </c>
      <c r="C44" s="62" t="inlineStr">
        <is>
          <t>대</t>
        </is>
      </c>
      <c r="D44" s="62" t="inlineStr">
        <is>
          <t>퇴계원리 111-17</t>
        </is>
      </c>
      <c r="E44" s="62" t="inlineStr">
        <is>
          <t>-</t>
        </is>
      </c>
      <c r="F44" s="57" t="n"/>
      <c r="G44" s="62" t="inlineStr">
        <is>
          <t>23억 5,000</t>
        </is>
      </c>
      <c r="H44" s="62" t="inlineStr">
        <is>
          <t>-</t>
        </is>
      </c>
      <c r="I44" s="62" t="inlineStr">
        <is>
          <t>-</t>
        </is>
      </c>
      <c r="J44" s="62" t="inlineStr">
        <is>
          <t>중로접한 신축부지 · 부동산써브 (812m)</t>
        </is>
      </c>
    </row>
    <row r="45">
      <c r="A45" s="62" t="n">
        <v>16</v>
      </c>
      <c r="B45" s="62" t="inlineStr">
        <is>
          <t>토지(대지)</t>
        </is>
      </c>
      <c r="C45" s="62" t="inlineStr">
        <is>
          <t>대</t>
        </is>
      </c>
      <c r="D45" s="62" t="inlineStr">
        <is>
          <t>퇴계원리 71</t>
        </is>
      </c>
      <c r="E45" s="62" t="inlineStr">
        <is>
          <t>-</t>
        </is>
      </c>
      <c r="F45" s="57" t="n"/>
      <c r="G45" s="62" t="inlineStr">
        <is>
          <t>25억 6,000</t>
        </is>
      </c>
      <c r="H45" s="62" t="inlineStr">
        <is>
          <t>-</t>
        </is>
      </c>
      <c r="I45" s="62" t="inlineStr">
        <is>
          <t>-</t>
        </is>
      </c>
      <c r="J45" s="62" t="inlineStr">
        <is>
          <t>퇴계원 중심 대로변, 160p 토지, 자동차공업사 운영중 · 텐컴즈 (856m)</t>
        </is>
      </c>
    </row>
    <row r="46">
      <c r="A46" s="62" t="n">
        <v>17</v>
      </c>
      <c r="B46" s="62" t="inlineStr">
        <is>
          <t>호실별(구분상가·사무실)</t>
        </is>
      </c>
      <c r="C46" s="62" t="inlineStr">
        <is>
          <t>일반상가</t>
        </is>
      </c>
      <c r="D46" s="62" t="inlineStr">
        <is>
          <t>퇴계원리 314-4</t>
        </is>
      </c>
      <c r="E46" s="62" t="inlineStr">
        <is>
          <t>1/3</t>
        </is>
      </c>
      <c r="F46" s="57" t="n">
        <v>15.12</v>
      </c>
      <c r="G46" s="62" t="inlineStr">
        <is>
          <t>-</t>
        </is>
      </c>
      <c r="H46" s="62" t="inlineStr">
        <is>
          <t>3,000/140</t>
        </is>
      </c>
      <c r="I46" s="62" t="inlineStr">
        <is>
          <t>1986.11.29</t>
        </is>
      </c>
      <c r="J46" s="62" t="inlineStr">
        <is>
          <t>퇴계원 중심입지, 유동인구 많은 상가, 안정적인 수익 보장되는… · 부동산포스 (53m)</t>
        </is>
      </c>
    </row>
    <row r="47">
      <c r="A47" s="62" t="n">
        <v>18</v>
      </c>
      <c r="B47" s="62" t="inlineStr">
        <is>
          <t>호실별(구분상가·사무실)</t>
        </is>
      </c>
      <c r="C47" s="62" t="inlineStr">
        <is>
          <t>일반상가 향산빌딩</t>
        </is>
      </c>
      <c r="D47" s="62" t="inlineStr">
        <is>
          <t>퇴계원리 218-66</t>
        </is>
      </c>
      <c r="E47" s="62" t="inlineStr">
        <is>
          <t>1/3</t>
        </is>
      </c>
      <c r="F47" s="57" t="n">
        <v>10.59</v>
      </c>
      <c r="G47" s="62" t="inlineStr">
        <is>
          <t>-</t>
        </is>
      </c>
      <c r="H47" s="62" t="inlineStr">
        <is>
          <t>2,000/100</t>
        </is>
      </c>
      <c r="I47" s="62" t="inlineStr">
        <is>
          <t>2014.01.21</t>
        </is>
      </c>
      <c r="J47" s="62" t="inlineStr">
        <is>
          <t>초역세권, 빠른입주가능, 주차가능, 귀한1층 · 텐컴즈 (146m)</t>
        </is>
      </c>
    </row>
    <row r="48">
      <c r="A48" s="62" t="n">
        <v>19</v>
      </c>
      <c r="B48" s="62" t="inlineStr">
        <is>
          <t>호실별(구분상가·사무실)</t>
        </is>
      </c>
      <c r="C48" s="62" t="inlineStr">
        <is>
          <t>일반상가 퇴계원월드</t>
        </is>
      </c>
      <c r="D48" s="62" t="inlineStr">
        <is>
          <t>퇴계원리 220-1</t>
        </is>
      </c>
      <c r="E48" s="62" t="inlineStr">
        <is>
          <t>1/4</t>
        </is>
      </c>
      <c r="F48" s="57" t="n">
        <v>16.64</v>
      </c>
      <c r="G48" s="62" t="inlineStr">
        <is>
          <t>-</t>
        </is>
      </c>
      <c r="H48" s="62" t="inlineStr">
        <is>
          <t>3,000/140</t>
        </is>
      </c>
      <c r="I48" s="62" t="inlineStr">
        <is>
          <t>2018.07.31</t>
        </is>
      </c>
      <c r="J48" s="62" t="inlineStr">
        <is>
          <t>초역세 먹자골목 준신축건물코너자리 즉시입주가능 · 텐컴즈 (231m)</t>
        </is>
      </c>
    </row>
    <row r="49">
      <c r="A49" s="62" t="n">
        <v>20</v>
      </c>
      <c r="B49" s="62" t="inlineStr">
        <is>
          <t>호실별(구분상가·사무실)</t>
        </is>
      </c>
      <c r="C49" s="62" t="inlineStr">
        <is>
          <t>일반상가 다모아빌딩</t>
        </is>
      </c>
      <c r="D49" s="62" t="inlineStr">
        <is>
          <t>퇴계원리 255-1</t>
        </is>
      </c>
      <c r="E49" s="62" t="inlineStr">
        <is>
          <t>1/5</t>
        </is>
      </c>
      <c r="F49" s="57" t="n">
        <v>15.43</v>
      </c>
      <c r="G49" s="62" t="inlineStr">
        <is>
          <t>-</t>
        </is>
      </c>
      <c r="H49" s="62" t="inlineStr">
        <is>
          <t>3,000/120</t>
        </is>
      </c>
      <c r="I49" s="62" t="inlineStr">
        <is>
          <t>2004.06.22</t>
        </is>
      </c>
      <c r="J49" s="62" t="inlineStr">
        <is>
          <t>퇴계원 중심상권 메인구분상가, 현 화장품 운영 중 · 텐컴즈 (375m)</t>
        </is>
      </c>
    </row>
    <row r="50">
      <c r="A50" s="62" t="n">
        <v>21</v>
      </c>
      <c r="B50" s="62" t="inlineStr">
        <is>
          <t>호실별(구분상가·사무실)</t>
        </is>
      </c>
      <c r="C50" s="62" t="inlineStr">
        <is>
          <t>단지내상가</t>
        </is>
      </c>
      <c r="D50" s="62" t="inlineStr">
        <is>
          <t>퇴계원리 365</t>
        </is>
      </c>
      <c r="E50" s="62" t="inlineStr">
        <is>
          <t>1/2</t>
        </is>
      </c>
      <c r="F50" s="57" t="n">
        <v>8.470000000000001</v>
      </c>
      <c r="G50" s="62" t="inlineStr">
        <is>
          <t>1억 5,000</t>
        </is>
      </c>
      <c r="H50" s="62" t="inlineStr">
        <is>
          <t>-</t>
        </is>
      </c>
      <c r="I50" s="62" t="inlineStr">
        <is>
          <t>2007.06.27</t>
        </is>
      </c>
      <c r="J50" s="62" t="inlineStr">
        <is>
          <t>급매,권리 없음, 현재 보증금 2천만에 월세 85만 받고있음 · 매경부동산 (874m)</t>
        </is>
      </c>
    </row>
    <row r="51">
      <c r="A51" s="62" t="n">
        <v>22</v>
      </c>
      <c r="B51" s="62" t="inlineStr">
        <is>
          <t>호실별(구분상가·사무실)</t>
        </is>
      </c>
      <c r="C51" s="62" t="inlineStr">
        <is>
          <t>일반상가</t>
        </is>
      </c>
      <c r="D51" s="62" t="inlineStr">
        <is>
          <t>퇴계원리 250-37</t>
        </is>
      </c>
      <c r="E51" s="62" t="inlineStr">
        <is>
          <t>1/3</t>
        </is>
      </c>
      <c r="F51" s="57" t="n">
        <v>33.27</v>
      </c>
      <c r="G51" s="62" t="inlineStr">
        <is>
          <t>4억 5,000</t>
        </is>
      </c>
      <c r="H51" s="62" t="inlineStr">
        <is>
          <t>-</t>
        </is>
      </c>
      <c r="I51" s="62" t="inlineStr">
        <is>
          <t>1989.11.13</t>
        </is>
      </c>
      <c r="J51" s="62" t="inlineStr">
        <is>
          <t>코너상가 주택가 2종근생 고수익 임대완료 · 한국공인중개사협회 (555m)</t>
        </is>
      </c>
    </row>
    <row r="52">
      <c r="A52" s="62" t="n">
        <v>23</v>
      </c>
      <c r="B52" s="62" t="inlineStr">
        <is>
          <t>호실별(구분상가·사무실)</t>
        </is>
      </c>
      <c r="C52" s="62" t="inlineStr">
        <is>
          <t>중소형사무실</t>
        </is>
      </c>
      <c r="D52" s="62" t="inlineStr">
        <is>
          <t>퇴계원리 221</t>
        </is>
      </c>
      <c r="E52" s="62" t="inlineStr">
        <is>
          <t>3/3</t>
        </is>
      </c>
      <c r="F52" s="57" t="n">
        <v>7.56</v>
      </c>
      <c r="G52" s="62" t="inlineStr">
        <is>
          <t>-</t>
        </is>
      </c>
      <c r="H52" s="62" t="inlineStr">
        <is>
          <t>500/45</t>
        </is>
      </c>
      <c r="I52" s="62" t="inlineStr">
        <is>
          <t>1994.03.10</t>
        </is>
      </c>
      <c r="J52" s="62" t="inlineStr">
        <is>
          <t>퇴계원중심. 1,2종 근생사무실로 추천,1인교습소가능,6월초가 · 매경부동산 (374m)</t>
        </is>
      </c>
    </row>
    <row r="53">
      <c r="A53" s="62" t="n">
        <v>24</v>
      </c>
      <c r="B53" s="62" t="inlineStr">
        <is>
          <t>호실별(구분상가·사무실)</t>
        </is>
      </c>
      <c r="C53" s="62" t="inlineStr">
        <is>
          <t>단지내상가</t>
        </is>
      </c>
      <c r="D53" s="62" t="inlineStr">
        <is>
          <t>퇴계원리 303</t>
        </is>
      </c>
      <c r="E53" s="62" t="inlineStr">
        <is>
          <t>2/2</t>
        </is>
      </c>
      <c r="F53" s="57" t="n">
        <v>8.470000000000001</v>
      </c>
      <c r="G53" s="62" t="inlineStr">
        <is>
          <t>-</t>
        </is>
      </c>
      <c r="H53" s="62" t="inlineStr">
        <is>
          <t>500/45</t>
        </is>
      </c>
      <c r="I53" s="62" t="inlineStr">
        <is>
          <t>1999.03.31</t>
        </is>
      </c>
      <c r="J53" s="62" t="inlineStr">
        <is>
          <t>단지내상가 입지좋아요 즉시입주가 · 한국공인중개사협회 (106m)</t>
        </is>
      </c>
    </row>
    <row r="54">
      <c r="A54" s="62" t="n">
        <v>25</v>
      </c>
      <c r="B54" s="62" t="inlineStr">
        <is>
          <t>층별(층 전체 임대·매매)</t>
        </is>
      </c>
      <c r="C54" s="62" t="inlineStr">
        <is>
          <t>일반상가</t>
        </is>
      </c>
      <c r="D54" s="62" t="inlineStr">
        <is>
          <t>퇴계원리 314-15</t>
        </is>
      </c>
      <c r="E54" s="62" t="inlineStr">
        <is>
          <t>1/5</t>
        </is>
      </c>
      <c r="F54" s="57" t="n">
        <v>144.29</v>
      </c>
      <c r="G54" s="62" t="inlineStr">
        <is>
          <t>-</t>
        </is>
      </c>
      <c r="H54" s="62" t="inlineStr">
        <is>
          <t>2억/950</t>
        </is>
      </c>
      <c r="I54" s="62" t="inlineStr">
        <is>
          <t>1990.08.25</t>
        </is>
      </c>
      <c r="J54" s="62" t="inlineStr">
        <is>
          <t>1층 상가, 다용도 추천, 퇴계원역 앞 상가, 주차 편리, 무… · 부동산써브 (153m)</t>
        </is>
      </c>
    </row>
    <row r="55">
      <c r="A55" s="62" t="n">
        <v>26</v>
      </c>
      <c r="B55" s="62" t="inlineStr">
        <is>
          <t>층별(층 전체 임대·매매)</t>
        </is>
      </c>
      <c r="C55" s="62" t="inlineStr">
        <is>
          <t>일반상가 대로변상가</t>
        </is>
      </c>
      <c r="D55" s="62" t="inlineStr">
        <is>
          <t>퇴계원리 290-9</t>
        </is>
      </c>
      <c r="E55" s="62" t="inlineStr">
        <is>
          <t>3/4</t>
        </is>
      </c>
      <c r="F55" s="57" t="n">
        <v>31.46</v>
      </c>
      <c r="G55" s="62" t="inlineStr">
        <is>
          <t>-</t>
        </is>
      </c>
      <c r="H55" s="62" t="inlineStr">
        <is>
          <t>3,000/160</t>
        </is>
      </c>
      <c r="I55" s="62" t="inlineStr">
        <is>
          <t>2009.07.15</t>
        </is>
      </c>
      <c r="J55" s="62" t="inlineStr">
        <is>
          <t>병원 한의원 피부샾 ,퇴계원랜드마크,사무실.아무거나해도위치좋음 · 텐컴즈 (182m)</t>
        </is>
      </c>
    </row>
    <row r="56">
      <c r="A56" s="62" t="n">
        <v>27</v>
      </c>
      <c r="B56" s="62" t="inlineStr">
        <is>
          <t>층별(층 전체 임대·매매)</t>
        </is>
      </c>
      <c r="C56" s="62" t="inlineStr">
        <is>
          <t>일반상가 대로변2층</t>
        </is>
      </c>
      <c r="D56" s="62" t="inlineStr">
        <is>
          <t>퇴계원리 292-4</t>
        </is>
      </c>
      <c r="E56" s="62" t="inlineStr">
        <is>
          <t>2/2</t>
        </is>
      </c>
      <c r="F56" s="57" t="n">
        <v>35.09</v>
      </c>
      <c r="G56" s="62" t="inlineStr">
        <is>
          <t>-</t>
        </is>
      </c>
      <c r="H56" s="62" t="inlineStr">
        <is>
          <t>4,000/150</t>
        </is>
      </c>
      <c r="I56" s="62" t="inlineStr">
        <is>
          <t>1987.08.04</t>
        </is>
      </c>
      <c r="J56" s="62" t="inlineStr">
        <is>
          <t>대로변으로광고짱,바로입주가능 · 텐컴즈 (205m)</t>
        </is>
      </c>
    </row>
    <row r="57">
      <c r="A57" s="62" t="n">
        <v>28</v>
      </c>
      <c r="B57" s="62" t="inlineStr">
        <is>
          <t>층별(층 전체 임대·매매)</t>
        </is>
      </c>
      <c r="C57" s="62" t="inlineStr">
        <is>
          <t>일반상가</t>
        </is>
      </c>
      <c r="D57" s="62" t="inlineStr">
        <is>
          <t>퇴계원리 329-17</t>
        </is>
      </c>
      <c r="E57" s="62" t="inlineStr">
        <is>
          <t>2/2</t>
        </is>
      </c>
      <c r="F57" s="57" t="n">
        <v>69.88</v>
      </c>
      <c r="G57" s="62" t="inlineStr">
        <is>
          <t>-</t>
        </is>
      </c>
      <c r="H57" s="62" t="inlineStr">
        <is>
          <t>1억/450</t>
        </is>
      </c>
      <c r="I57" s="62" t="inlineStr">
        <is>
          <t>2019.04.24</t>
        </is>
      </c>
      <c r="J57" s="62" t="inlineStr">
        <is>
          <t>대로변 노출가능 2층 건물 I 카페, 사옥임대 추천 I 주차 … · 매경부동산 (255m)</t>
        </is>
      </c>
    </row>
    <row r="58">
      <c r="A58" s="62" t="n">
        <v>29</v>
      </c>
      <c r="B58" s="62" t="inlineStr">
        <is>
          <t>층별(층 전체 임대·매매)</t>
        </is>
      </c>
      <c r="C58" s="62" t="inlineStr">
        <is>
          <t>상가건물</t>
        </is>
      </c>
      <c r="D58" s="62" t="inlineStr">
        <is>
          <t>퇴계원리 102-20</t>
        </is>
      </c>
      <c r="E58" s="62" t="inlineStr">
        <is>
          <t>4/-</t>
        </is>
      </c>
      <c r="F58" s="57" t="n">
        <v>113.74</v>
      </c>
      <c r="G58" s="62" t="inlineStr">
        <is>
          <t>-</t>
        </is>
      </c>
      <c r="H58" s="62" t="inlineStr">
        <is>
          <t>5,000/350</t>
        </is>
      </c>
      <c r="I58" s="62" t="inlineStr">
        <is>
          <t>2023.10.17</t>
        </is>
      </c>
      <c r="J58" s="62" t="inlineStr">
        <is>
          <t>사진 있음. 42P. 신축상가. 통유리. 전시장. 카페. 음식… · 부동산포스 (639m)</t>
        </is>
      </c>
    </row>
    <row r="59">
      <c r="A59" s="62" t="n">
        <v>30</v>
      </c>
      <c r="B59" s="62" t="inlineStr">
        <is>
          <t>층별(층 전체 임대·매매)</t>
        </is>
      </c>
      <c r="C59" s="62" t="inlineStr">
        <is>
          <t>일반상가 염광빌딩</t>
        </is>
      </c>
      <c r="D59" s="62" t="inlineStr">
        <is>
          <t>퇴계원리 82-2</t>
        </is>
      </c>
      <c r="E59" s="62" t="inlineStr">
        <is>
          <t>4/5</t>
        </is>
      </c>
      <c r="F59" s="57" t="n">
        <v>91.34999999999999</v>
      </c>
      <c r="G59" s="62" t="inlineStr">
        <is>
          <t>-</t>
        </is>
      </c>
      <c r="H59" s="62" t="inlineStr">
        <is>
          <t>5,000/250</t>
        </is>
      </c>
      <c r="I59" s="62" t="inlineStr">
        <is>
          <t>2003.04.30</t>
        </is>
      </c>
      <c r="J59" s="62" t="inlineStr">
        <is>
          <t>대로변 가시성 좋은 건물, 학원등 · 부동산포스 (972m)</t>
        </is>
      </c>
    </row>
    <row r="60">
      <c r="A60" s="62" t="n">
        <v>31</v>
      </c>
      <c r="B60" s="62" t="inlineStr">
        <is>
          <t>층별(층 전체 임대·매매)</t>
        </is>
      </c>
      <c r="C60" s="62" t="inlineStr">
        <is>
          <t>일반상가</t>
        </is>
      </c>
      <c r="D60" s="62" t="inlineStr">
        <is>
          <t>퇴계원리 280-3</t>
        </is>
      </c>
      <c r="E60" s="62" t="inlineStr">
        <is>
          <t>3/3</t>
        </is>
      </c>
      <c r="F60" s="57" t="n">
        <v>48.1</v>
      </c>
      <c r="G60" s="62" t="inlineStr">
        <is>
          <t>-</t>
        </is>
      </c>
      <c r="H60" s="62" t="inlineStr">
        <is>
          <t>3,000/130</t>
        </is>
      </c>
      <c r="I60" s="62" t="inlineStr">
        <is>
          <t>1990.03.03</t>
        </is>
      </c>
      <c r="J60" s="62" t="inlineStr">
        <is>
          <t>현공실, 학원, 음식점, 기원, 스터디카페,당구장 · 부동산써브 (399m)</t>
        </is>
      </c>
    </row>
    <row r="61">
      <c r="A61" s="62" t="n">
        <v>32</v>
      </c>
      <c r="B61" s="62" t="inlineStr">
        <is>
          <t>층별(층 전체 임대·매매)</t>
        </is>
      </c>
      <c r="C61" s="62" t="inlineStr">
        <is>
          <t>일반상가</t>
        </is>
      </c>
      <c r="D61" s="62" t="inlineStr">
        <is>
          <t>퇴계원리 211-3</t>
        </is>
      </c>
      <c r="E61" s="62" t="inlineStr">
        <is>
          <t>전체층/2</t>
        </is>
      </c>
      <c r="F61" s="57" t="n">
        <v>29.64</v>
      </c>
      <c r="G61" s="62" t="inlineStr">
        <is>
          <t>-</t>
        </is>
      </c>
      <c r="H61" s="62" t="inlineStr">
        <is>
          <t>3,000/180</t>
        </is>
      </c>
      <c r="I61" s="62" t="inlineStr">
        <is>
          <t>2007.11.06</t>
        </is>
      </c>
      <c r="J61" s="62" t="inlineStr">
        <is>
          <t>역세권, 입주협의가능 · 텐컴즈 (469m)</t>
        </is>
      </c>
    </row>
    <row r="62">
      <c r="A62" s="62" t="n">
        <v>33</v>
      </c>
      <c r="B62" s="62" t="inlineStr">
        <is>
          <t>층별(층 전체 임대·매매)</t>
        </is>
      </c>
      <c r="C62" s="62" t="inlineStr">
        <is>
          <t>일반상가</t>
        </is>
      </c>
      <c r="D62" s="62" t="inlineStr">
        <is>
          <t>퇴계원리 75-15</t>
        </is>
      </c>
      <c r="E62" s="62" t="inlineStr">
        <is>
          <t>2/4</t>
        </is>
      </c>
      <c r="F62" s="57" t="n">
        <v>38.72</v>
      </c>
      <c r="G62" s="62" t="inlineStr">
        <is>
          <t>-</t>
        </is>
      </c>
      <c r="H62" s="62" t="inlineStr">
        <is>
          <t>2,000/120</t>
        </is>
      </c>
      <c r="I62" s="62" t="inlineStr">
        <is>
          <t>2022.12.05</t>
        </is>
      </c>
      <c r="J62" s="62" t="inlineStr">
        <is>
          <t>4차선대로변신축,입지조건최상,엘리베이터유,층고높음,2층전용계단 · 한국공인중개사협회 (958m)</t>
        </is>
      </c>
    </row>
    <row r="63">
      <c r="A63" s="62" t="n">
        <v>34</v>
      </c>
      <c r="B63" s="62" t="inlineStr">
        <is>
          <t>층별(층 전체 임대·매매)</t>
        </is>
      </c>
      <c r="C63" s="62" t="inlineStr">
        <is>
          <t>일반상가</t>
        </is>
      </c>
      <c r="D63" s="62" t="inlineStr">
        <is>
          <t>퇴계원리 218-57</t>
        </is>
      </c>
      <c r="E63" s="62" t="inlineStr">
        <is>
          <t>전체층/3</t>
        </is>
      </c>
      <c r="F63" s="57" t="n">
        <v>31.16</v>
      </c>
      <c r="G63" s="62" t="inlineStr">
        <is>
          <t>-</t>
        </is>
      </c>
      <c r="H63" s="62" t="inlineStr">
        <is>
          <t>3,000/99</t>
        </is>
      </c>
      <c r="I63" s="62" t="inlineStr">
        <is>
          <t>1989.09.26</t>
        </is>
      </c>
      <c r="J63" s="62" t="inlineStr">
        <is>
          <t>우체국 바로 옆 상가, 접근성 좋음, 상태 깔끔 · 텐컴즈 (210m)</t>
        </is>
      </c>
    </row>
    <row r="65">
      <c r="A65" s="141" t="inlineStr">
        <is>
          <t>3) 유사 경매사례 — 탱크옥션 매각·매각허가(상업·업무용), 퇴계원 인근 사례 없어 남양주시 권역 / 단위: 원</t>
        </is>
      </c>
    </row>
    <row r="66">
      <c r="A66" s="56" t="inlineStr">
        <is>
          <t>no</t>
        </is>
      </c>
      <c r="B66" s="56" t="inlineStr">
        <is>
          <t>낙찰일</t>
        </is>
      </c>
      <c r="C66" s="56" t="inlineStr">
        <is>
          <t>사건번호</t>
        </is>
      </c>
      <c r="D66" s="56" t="inlineStr">
        <is>
          <t>주소</t>
        </is>
      </c>
      <c r="E66" s="56" t="inlineStr">
        <is>
          <t>종류</t>
        </is>
      </c>
      <c r="F66" s="56" t="inlineStr">
        <is>
          <t>면적</t>
        </is>
      </c>
      <c r="G66" s="56" t="inlineStr">
        <is>
          <t>감정가</t>
        </is>
      </c>
      <c r="H66" s="56" t="inlineStr">
        <is>
          <t>낙찰가</t>
        </is>
      </c>
      <c r="I66" s="56" t="inlineStr">
        <is>
          <t>낙찰가율</t>
        </is>
      </c>
      <c r="J66" s="56" t="inlineStr">
        <is>
          <t>최저가율</t>
        </is>
      </c>
      <c r="K66" s="56" t="inlineStr">
        <is>
          <t>응찰</t>
        </is>
      </c>
      <c r="L66" s="56" t="inlineStr">
        <is>
          <t>법원·처분</t>
        </is>
      </c>
    </row>
    <row r="67">
      <c r="A67" s="62" t="n">
        <v>1</v>
      </c>
      <c r="B67" s="62" t="inlineStr">
        <is>
          <t>26.06.10</t>
        </is>
      </c>
      <c r="C67" s="62" t="inlineStr">
        <is>
          <t>2025-2757(2)</t>
        </is>
      </c>
      <c r="D67" s="71" t="inlineStr">
        <is>
          <t>경기도 남양주시 별내동 974-1 동광비즈타워별내 1동 지하2층비220호</t>
        </is>
      </c>
      <c r="E67" s="62" t="inlineStr">
        <is>
          <t>지식산업센터</t>
        </is>
      </c>
      <c r="F67" s="62" t="inlineStr">
        <is>
          <t>건물 69.7㎡(21.084평), 대지권 19.93㎡(6.029평)</t>
        </is>
      </c>
      <c r="G67" s="58" t="n">
        <v>231000000</v>
      </c>
      <c r="H67" s="58" t="n">
        <v>105511000</v>
      </c>
      <c r="I67" s="60" t="n">
        <v>0.46</v>
      </c>
      <c r="J67" s="60" t="n">
        <v>0.34</v>
      </c>
      <c r="K67" s="62" t="n">
        <v>1</v>
      </c>
      <c r="L67" s="62" t="inlineStr">
        <is>
          <t>남양주1계·토지·건물 일괄매각 (1034m)</t>
        </is>
      </c>
    </row>
    <row r="68">
      <c r="A68" s="62" t="n">
        <v>2</v>
      </c>
      <c r="B68" s="62" t="inlineStr">
        <is>
          <t>26.06.10</t>
        </is>
      </c>
      <c r="C68" s="62" t="inlineStr">
        <is>
          <t>2025-2757(4)</t>
        </is>
      </c>
      <c r="D68" s="71" t="inlineStr">
        <is>
          <t>경기도 남양주시 별내동 974-1 동광비즈타워별내 1동 지하2층비222호</t>
        </is>
      </c>
      <c r="E68" s="62" t="inlineStr">
        <is>
          <t>지식산업센터</t>
        </is>
      </c>
      <c r="F68" s="62" t="inlineStr">
        <is>
          <t>건물 68.46㎡(20.709평), 대지권 19.57㎡(5.92평)</t>
        </is>
      </c>
      <c r="G68" s="58" t="n">
        <v>227000000</v>
      </c>
      <c r="H68" s="58" t="n">
        <v>90000000</v>
      </c>
      <c r="I68" s="60" t="n">
        <v>0.4</v>
      </c>
      <c r="J68" s="60" t="n">
        <v>0.34</v>
      </c>
      <c r="K68" s="62" t="n">
        <v>1</v>
      </c>
      <c r="L68" s="62" t="inlineStr">
        <is>
          <t>남양주1계·토지·건물 일괄매각 (1034m)</t>
        </is>
      </c>
    </row>
    <row r="69">
      <c r="A69" s="62" t="n">
        <v>3</v>
      </c>
      <c r="B69" s="62" t="inlineStr">
        <is>
          <t>26.06.18</t>
        </is>
      </c>
      <c r="C69" s="62" t="inlineStr">
        <is>
          <t>2025-71809</t>
        </is>
      </c>
      <c r="D69" s="71" t="inlineStr">
        <is>
          <t>경기도 남양주시 별내동 975-3 별내역파라곤스퀘어 지식산업센터-2동 18층 엠1825호</t>
        </is>
      </c>
      <c r="E69" s="62" t="inlineStr">
        <is>
          <t>지식산업센터</t>
        </is>
      </c>
      <c r="F69" s="62" t="inlineStr">
        <is>
          <t>건물 47.5775㎡(14.392평), 대지권 14.5056㎡(4.388평)</t>
        </is>
      </c>
      <c r="G69" s="58" t="n">
        <v>217000000</v>
      </c>
      <c r="H69" s="58" t="n">
        <v>106410000</v>
      </c>
      <c r="I69" s="60" t="n">
        <v>0.49</v>
      </c>
      <c r="J69" s="60" t="n">
        <v>0.49</v>
      </c>
      <c r="K69" s="62" t="n">
        <v>1</v>
      </c>
      <c r="L69" s="62" t="inlineStr">
        <is>
          <t>남양주6계·토지·건물 일괄매각 (1112m)</t>
        </is>
      </c>
    </row>
    <row r="70">
      <c r="A70" s="62" t="n">
        <v>4</v>
      </c>
      <c r="B70" s="62" t="inlineStr">
        <is>
          <t>26.05.14</t>
        </is>
      </c>
      <c r="C70" s="62" t="inlineStr">
        <is>
          <t>2024-85991</t>
        </is>
      </c>
      <c r="D70" s="71" t="inlineStr">
        <is>
          <t>경기 남양주시 별내동 1056, 근린생활시설1동 지1층2호 (별내동,별내신도시쌍용예가)</t>
        </is>
      </c>
      <c r="E70" s="62" t="inlineStr">
        <is>
          <t>근린상가</t>
        </is>
      </c>
      <c r="F70" s="62" t="inlineStr">
        <is>
          <t>건물 31.049㎡(9.392평), 대지권 22.2998㎡(6.746평)</t>
        </is>
      </c>
      <c r="G70" s="58" t="n">
        <v>285000000</v>
      </c>
      <c r="H70" s="58" t="n">
        <v>91250000</v>
      </c>
      <c r="I70" s="60" t="n">
        <v>0.32</v>
      </c>
      <c r="J70" s="60" t="n">
        <v>0.24</v>
      </c>
      <c r="K70" s="62" t="n">
        <v>1</v>
      </c>
      <c r="L70" s="62" t="inlineStr">
        <is>
          <t>남양주6계·토지·건물 일괄매각 (1856m)</t>
        </is>
      </c>
    </row>
    <row r="71">
      <c r="A71" s="62" t="n">
        <v>5</v>
      </c>
      <c r="B71" s="62" t="inlineStr">
        <is>
          <t>26.05.06</t>
        </is>
      </c>
      <c r="C71" s="62" t="inlineStr">
        <is>
          <t>2024-5711</t>
        </is>
      </c>
      <c r="D71" s="71" t="inlineStr">
        <is>
          <t>경기 남양주시 다산동 6030-1, 1동 1층102호 (다산동,주)반석종합개발주건축물)</t>
        </is>
      </c>
      <c r="E71" s="62" t="inlineStr">
        <is>
          <t>근린상가</t>
        </is>
      </c>
      <c r="F71" s="62" t="inlineStr">
        <is>
          <t>건물 46.2㎡(13.976평), 대지권 18.67㎡(5.648평)</t>
        </is>
      </c>
      <c r="G71" s="58" t="n">
        <v>935000000</v>
      </c>
      <c r="H71" s="58" t="n">
        <v>458000000</v>
      </c>
      <c r="I71" s="60" t="n">
        <v>0.49</v>
      </c>
      <c r="J71" s="60" t="n">
        <v>0.34</v>
      </c>
      <c r="K71" s="62" t="n">
        <v>1</v>
      </c>
      <c r="L71" s="62" t="inlineStr">
        <is>
          <t>남양주1계·토지·건물 일괄매각 (2642m)</t>
        </is>
      </c>
    </row>
    <row r="72">
      <c r="A72" s="62" t="n">
        <v>6</v>
      </c>
      <c r="B72" s="62" t="inlineStr">
        <is>
          <t>26.05.21</t>
        </is>
      </c>
      <c r="C72" s="62" t="inlineStr">
        <is>
          <t>2024-87027</t>
        </is>
      </c>
      <c r="D72" s="71" t="inlineStr">
        <is>
          <t>경기 남양주시 다산동 6143, 5층에이에이05-007호 (다산동,다산현대프리미어캠퍼스) 외 1필지</t>
        </is>
      </c>
      <c r="E72" s="62" t="inlineStr">
        <is>
          <t>지식산업센터</t>
        </is>
      </c>
      <c r="F72" s="62" t="inlineStr">
        <is>
          <t>건물 60.18㎡(18.204평), 대지권 14.4096㎡(4.359평)</t>
        </is>
      </c>
      <c r="G72" s="58" t="n">
        <v>275000000</v>
      </c>
      <c r="H72" s="58" t="n">
        <v>143000000</v>
      </c>
      <c r="I72" s="60" t="n">
        <v>0.52</v>
      </c>
      <c r="J72" s="60" t="n">
        <v>0.49</v>
      </c>
      <c r="K72" s="62" t="n">
        <v>1</v>
      </c>
      <c r="L72" s="62" t="inlineStr">
        <is>
          <t>남양주7계·토지·건물 일괄매각 (4030m)</t>
        </is>
      </c>
    </row>
    <row r="73">
      <c r="A73" s="62" t="n">
        <v>7</v>
      </c>
      <c r="B73" s="62" t="inlineStr">
        <is>
          <t>26.06.17</t>
        </is>
      </c>
      <c r="C73" s="62" t="inlineStr">
        <is>
          <t>2024-87133(1)</t>
        </is>
      </c>
      <c r="D73" s="71" t="inlineStr">
        <is>
          <t>경기 남양주시 다산동 6143, 9층비에이09-023호 (다산동,다산현대프리미어캠퍼스) 외 1필지</t>
        </is>
      </c>
      <c r="E73" s="62" t="inlineStr">
        <is>
          <t>지식산업센터</t>
        </is>
      </c>
      <c r="F73" s="62" t="inlineStr">
        <is>
          <t>건물 66.42㎡(20.092평), 대지권 15.9037㎡(4.811평)</t>
        </is>
      </c>
      <c r="G73" s="58" t="n">
        <v>337000000</v>
      </c>
      <c r="H73" s="58" t="n">
        <v>160007000</v>
      </c>
      <c r="I73" s="60" t="n">
        <v>0.47</v>
      </c>
      <c r="J73" s="60" t="n">
        <v>0.34</v>
      </c>
      <c r="K73" s="62" t="n">
        <v>1</v>
      </c>
      <c r="L73" s="62" t="inlineStr">
        <is>
          <t>남양주5계·토지·건물 일괄매각 (4030m)</t>
        </is>
      </c>
    </row>
    <row r="74">
      <c r="A74" s="62" t="n">
        <v>8</v>
      </c>
      <c r="B74" s="62" t="inlineStr">
        <is>
          <t>26.06.17</t>
        </is>
      </c>
      <c r="C74" s="62" t="inlineStr">
        <is>
          <t>2024-87133(2)</t>
        </is>
      </c>
      <c r="D74" s="71" t="inlineStr">
        <is>
          <t>경기 남양주시 다산동 6143, 9층비에이09-024호 (다산동,다산현대프리미어캠퍼스) 외 1필지</t>
        </is>
      </c>
      <c r="E74" s="62" t="inlineStr">
        <is>
          <t>지식산업센터</t>
        </is>
      </c>
      <c r="F74" s="62" t="inlineStr">
        <is>
          <t>건물 66.42㎡(20.092평), 대지권 15.9037㎡(4.811평)</t>
        </is>
      </c>
      <c r="G74" s="58" t="n">
        <v>337000000</v>
      </c>
      <c r="H74" s="58" t="n">
        <v>160007000</v>
      </c>
      <c r="I74" s="60" t="n">
        <v>0.47</v>
      </c>
      <c r="J74" s="60" t="n">
        <v>0.34</v>
      </c>
      <c r="K74" s="62" t="n">
        <v>1</v>
      </c>
      <c r="L74" s="62" t="inlineStr">
        <is>
          <t>남양주5계·토지·건물 일괄매각 (4030m)</t>
        </is>
      </c>
    </row>
    <row r="75">
      <c r="A75" s="142" t="inlineStr">
        <is>
          <t>남양주시 권역 상업용 경매 낙찰가율 평균(응찰 대부분 1명)</t>
        </is>
      </c>
      <c r="B75" s="97" t="n"/>
      <c r="C75" s="97" t="n"/>
      <c r="D75" s="97" t="n"/>
      <c r="E75" s="97" t="n"/>
      <c r="F75" s="97" t="n"/>
      <c r="G75" s="97" t="n"/>
      <c r="H75" s="91" t="n"/>
      <c r="I75" s="61">
        <f>IFERROR(AVERAGE(I67:I74),0)</f>
        <v/>
      </c>
      <c r="J75" s="61">
        <f>IFERROR(AVERAGE(J67:J74),0)</f>
        <v/>
      </c>
      <c r="K75" s="198" t="inlineStr"/>
      <c r="L75" s="198" t="inlineStr"/>
    </row>
    <row r="77">
      <c r="A77" s="141" t="inlineStr">
        <is>
          <t>4) 평당 시세 · 평균 수익률 산정</t>
        </is>
      </c>
    </row>
    <row r="78">
      <c r="A78" s="56" t="inlineStr">
        <is>
          <t>구분</t>
        </is>
      </c>
      <c r="B78" s="56" t="inlineStr">
        <is>
          <t>산정근거</t>
        </is>
      </c>
      <c r="C78" s="104" t="n"/>
      <c r="D78" s="104" t="n"/>
      <c r="E78" s="104" t="n"/>
      <c r="F78" s="104" t="n"/>
      <c r="G78" s="94" t="n"/>
      <c r="H78" s="56" t="inlineStr">
        <is>
          <t>평당/수익률</t>
        </is>
      </c>
      <c r="I78" s="104" t="n"/>
      <c r="J78" s="104" t="n"/>
      <c r="K78" s="104" t="n"/>
      <c r="L78" s="94" t="n"/>
    </row>
    <row r="79" ht="28" customHeight="1" s="103">
      <c r="A79" s="62" t="inlineStr">
        <is>
          <t>토지 평당시세</t>
        </is>
      </c>
      <c r="B79" s="71" t="inlineStr">
        <is>
          <t>네이버 토지(대) 13건 중앙값 / 역세권·대로변 코너</t>
        </is>
      </c>
      <c r="C79" s="97" t="n"/>
      <c r="D79" s="97" t="n"/>
      <c r="E79" s="97" t="n"/>
      <c r="F79" s="97" t="n"/>
      <c r="G79" s="91" t="n"/>
      <c r="H79" s="71" t="inlineStr">
        <is>
          <t>≈ 1,565만원 (중심상권 1,990~3,050만)</t>
        </is>
      </c>
      <c r="I79" s="97" t="n"/>
      <c r="J79" s="97" t="n"/>
      <c r="K79" s="97" t="n"/>
      <c r="L79" s="91" t="n"/>
    </row>
    <row r="80" ht="28" customHeight="1" s="103">
      <c r="A80" s="62" t="inlineStr">
        <is>
          <t>건물 평당시세(통매매)</t>
        </is>
      </c>
      <c r="B80" s="71" t="inlineStr">
        <is>
          <t>네이버 건물 통매매 15건 연면적 평당 중앙값</t>
        </is>
      </c>
      <c r="C80" s="97" t="n"/>
      <c r="D80" s="97" t="n"/>
      <c r="E80" s="97" t="n"/>
      <c r="F80" s="97" t="n"/>
      <c r="G80" s="91" t="n"/>
      <c r="H80" s="71" t="inlineStr">
        <is>
          <t>≈ 1,780만원</t>
        </is>
      </c>
      <c r="I80" s="97" t="n"/>
      <c r="J80" s="97" t="n"/>
      <c r="K80" s="97" t="n"/>
      <c r="L80" s="91" t="n"/>
    </row>
    <row r="81" ht="28" customHeight="1" s="103">
      <c r="A81" s="62" t="inlineStr">
        <is>
          <t>대상 토지가치(추정)</t>
        </is>
      </c>
      <c r="B81" s="71" t="inlineStr">
        <is>
          <t>141.6평 × 토지평당 1,565~2,200만(중심입지 보정)</t>
        </is>
      </c>
      <c r="C81" s="97" t="n"/>
      <c r="D81" s="97" t="n"/>
      <c r="E81" s="97" t="n"/>
      <c r="F81" s="97" t="n"/>
      <c r="G81" s="91" t="n"/>
      <c r="H81" s="71" t="inlineStr">
        <is>
          <t>약 22~31억원</t>
        </is>
      </c>
      <c r="I81" s="97" t="n"/>
      <c r="J81" s="97" t="n"/>
      <c r="K81" s="97" t="n"/>
      <c r="L81" s="91" t="n"/>
    </row>
    <row r="82" ht="28" customHeight="1" s="103">
      <c r="A82" s="62" t="inlineStr">
        <is>
          <t>평균 수익률(상가)</t>
        </is>
      </c>
      <c r="B82" s="71" t="inlineStr">
        <is>
          <t>(월세×12)/(매매가−보증금), 전용평 환산 · 실거래 매매가 기준</t>
        </is>
      </c>
      <c r="C82" s="97" t="n"/>
      <c r="D82" s="97" t="n"/>
      <c r="E82" s="97" t="n"/>
      <c r="F82" s="97" t="n"/>
      <c r="G82" s="91" t="n"/>
      <c r="H82" s="71" t="inlineStr">
        <is>
          <t>1층 ≈ 4.1% / 상층 ≈ 3.6%</t>
        </is>
      </c>
      <c r="I82" s="97" t="n"/>
      <c r="J82" s="97" t="n"/>
      <c r="K82" s="97" t="n"/>
      <c r="L82" s="91" t="n"/>
    </row>
    <row r="83" ht="28" customHeight="1" s="103">
      <c r="A83" s="62" t="inlineStr">
        <is>
          <t>참고 수익률</t>
        </is>
      </c>
      <c r="B83" s="71" t="inlineStr">
        <is>
          <t>단지내·구분상가 직접계산(365 쌍용예가 등)</t>
        </is>
      </c>
      <c r="C83" s="97" t="n"/>
      <c r="D83" s="97" t="n"/>
      <c r="E83" s="97" t="n"/>
      <c r="F83" s="97" t="n"/>
      <c r="G83" s="91" t="n"/>
      <c r="H83" s="71" t="inlineStr">
        <is>
          <t>≈ 7~8%</t>
        </is>
      </c>
      <c r="I83" s="97" t="n"/>
      <c r="J83" s="97" t="n"/>
      <c r="K83" s="97" t="n"/>
      <c r="L83" s="91" t="n"/>
    </row>
    <row r="85">
      <c r="A85" s="141" t="inlineStr">
        <is>
          <t>※ 유념사항</t>
        </is>
      </c>
    </row>
    <row r="86" ht="30" customHeight="1" s="103">
      <c r="A86" s="139" t="inlineStr">
        <is>
          <t>· 평당시세·수익률은 네이버 '호가'와 국토부 실거래를 혼합 산정한 추정치이며, 대상물건(311-1·314-49)의 정확한 용도지역·도로조건·임대현황에 따라 달라질 수 있음.</t>
        </is>
      </c>
    </row>
    <row r="87" ht="30" customHeight="1" s="103">
      <c r="A87" s="139" t="inlineStr">
        <is>
          <t>· 제주와 달리 퇴계원은 월세(月貰) 관행. 수익률은 전용평 환산 시장수익률이며, 통건물(토지가치 포함)은 수익률이 낮게(2~3%), 소형 구분상가는 높게(7~8%) 나옴.</t>
        </is>
      </c>
    </row>
    <row r="88" ht="30" customHeight="1" s="103">
      <c r="A88" s="139" t="inlineStr">
        <is>
          <t>· 경매: 퇴계원리 반경 1km 내 상업용 매각사례 없어 남양주시 권역(별내·다산·평내 등)으로 확대. 낙찰가율 24~84%, 응찰 대부분 1명.</t>
        </is>
      </c>
    </row>
    <row r="89" ht="30" customHeight="1" s="103">
      <c r="A89" s="139" t="inlineStr">
        <is>
          <t>· 정확한 지번은 네이버 내부 API pnu로 본번-부번 복원. 국토부 일반등기(통건물) 거래는 본번이 마스킹(2**)되어 거리 '리내'로 표기.</t>
        </is>
      </c>
    </row>
  </sheetData>
  <mergeCells count="26">
    <mergeCell ref="H82:L82"/>
    <mergeCell ref="H78:L78"/>
    <mergeCell ref="A89:L89"/>
    <mergeCell ref="A26:F26"/>
    <mergeCell ref="A3:L3"/>
    <mergeCell ref="B82:G82"/>
    <mergeCell ref="B78:G78"/>
    <mergeCell ref="A2:L2"/>
    <mergeCell ref="A86:L86"/>
    <mergeCell ref="H83:L83"/>
    <mergeCell ref="A85:L85"/>
    <mergeCell ref="A5:L5"/>
    <mergeCell ref="B83:G83"/>
    <mergeCell ref="A75:H75"/>
    <mergeCell ref="H79:L79"/>
    <mergeCell ref="B80:G80"/>
    <mergeCell ref="A28:L28"/>
    <mergeCell ref="B79:G79"/>
    <mergeCell ref="H81:L81"/>
    <mergeCell ref="H80:L80"/>
    <mergeCell ref="A77:L77"/>
    <mergeCell ref="B81:G81"/>
    <mergeCell ref="A1:L1"/>
    <mergeCell ref="A88:L88"/>
    <mergeCell ref="A87:L87"/>
    <mergeCell ref="A65:L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2026-06-29T04:15:51Z</dcterms:created>
  <dcterms:modified xsi:type="dcterms:W3CDTF">2026-06-30T01:21:13Z</dcterms:modified>
  <cp:lastModifiedBy>user</cp:lastModifiedBy>
</cp:coreProperties>
</file>