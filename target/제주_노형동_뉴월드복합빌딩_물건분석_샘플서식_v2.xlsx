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45" tabRatio="600" firstSheet="0" activeTab="2" autoFilterDateGrouping="1"/>
  </bookViews>
  <sheets>
    <sheet name="물건정보" sheetId="1" state="visible" r:id="rId1"/>
    <sheet name="감정평가서" sheetId="2" state="visible" r:id="rId2"/>
    <sheet name="시세조사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_);[Red]\(#,##0\)"/>
    <numFmt numFmtId="166" formatCode="_-* #,##0_-;\-* #,##0_-;_-* &quot;-&quot;_-;_-@_-"/>
    <numFmt numFmtId="167" formatCode="_-* #,##0.00_-;\-* #,##0.00_-;_-* &quot;-&quot;_-;_-@_-"/>
    <numFmt numFmtId="168" formatCode="#,##0_ "/>
  </numFmts>
  <fonts count="15">
    <font>
      <name val="맑은 고딕"/>
      <color theme="1"/>
      <sz val="11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color rgb="FFFF0000"/>
      <sz val="11"/>
    </font>
    <font>
      <name val="Calibri"/>
      <family val="2"/>
      <color theme="1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b val="1"/>
      <color rgb="FF111827"/>
      <sz val="10"/>
    </font>
    <font>
      <name val="맑은 고딕"/>
      <charset val="129"/>
      <family val="3"/>
      <color rgb="FF111827"/>
      <sz val="10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111827"/>
      <sz val="9"/>
    </font>
    <font>
      <name val="맑은 고딕"/>
      <charset val="129"/>
      <family val="3"/>
      <color rgb="FF111827"/>
      <sz val="8"/>
    </font>
    <font>
      <name val="맑은 고딕"/>
      <charset val="129"/>
      <family val="3"/>
      <b val="1"/>
      <color rgb="FF111827"/>
      <sz val="8"/>
    </font>
    <font>
      <name val="맑은 고딕"/>
      <charset val="129"/>
      <family val="3"/>
      <color rgb="FF111827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1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/>
      <right/>
      <top style="thin">
        <color rgb="FF666666"/>
      </top>
      <bottom style="thin">
        <color indexed="64"/>
      </bottom>
      <diagonal/>
    </border>
    <border>
      <left/>
      <right style="thin">
        <color indexed="64"/>
      </right>
      <top style="thin">
        <color rgb="FF666666"/>
      </top>
      <bottom style="thin">
        <color indexed="64"/>
      </bottom>
      <diagonal/>
    </border>
    <border>
      <left/>
      <right style="thin">
        <color rgb="FF666666"/>
      </right>
      <top style="thin">
        <color rgb="FF666666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666666"/>
      </bottom>
      <diagonal/>
    </border>
    <border>
      <left/>
      <right style="thin">
        <color indexed="64"/>
      </right>
      <top style="thin">
        <color rgb="FF666666"/>
      </top>
      <bottom/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indexed="64"/>
      </bottom>
      <diagonal/>
    </border>
    <border>
      <left/>
      <right style="thin">
        <color rgb="FF66666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/>
      <top/>
      <bottom style="thin">
        <color rgb="FF666666"/>
      </bottom>
      <diagonal/>
    </border>
    <border>
      <left/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medium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/>
      <right style="medium">
        <color indexed="64"/>
      </right>
      <top style="thin">
        <color rgb="FF666666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1F4E78"/>
      </bottom>
      <diagonal/>
    </border>
    <border>
      <left/>
      <right/>
      <top style="medium">
        <color indexed="64"/>
      </top>
      <bottom style="thin">
        <color rgb="FF1F4E78"/>
      </bottom>
      <diagonal/>
    </border>
    <border>
      <left/>
      <right style="medium">
        <color indexed="64"/>
      </right>
      <top style="medium">
        <color indexed="64"/>
      </top>
      <bottom style="thin">
        <color rgb="FF1F4E78"/>
      </bottom>
      <diagonal/>
    </border>
    <border>
      <left style="thin">
        <color indexed="64"/>
      </left>
      <right style="medium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1F4E7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666666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66666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rgb="FF666666"/>
      </left>
      <right/>
      <top/>
      <bottom style="medium">
        <color indexed="64"/>
      </bottom>
      <diagonal/>
    </border>
    <border>
      <left/>
      <right style="thin">
        <color rgb="FF666666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666666"/>
      </bottom>
      <diagonal/>
    </border>
    <border>
      <left/>
      <right style="medium">
        <color indexed="64"/>
      </right>
      <top style="medium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666666"/>
      </right>
      <top style="medium">
        <color indexed="64"/>
      </top>
      <bottom style="thin">
        <color indexed="64"/>
      </bottom>
      <diagonal/>
    </border>
    <border>
      <left/>
      <right style="thin">
        <color rgb="FF666666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1F4E78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666666"/>
      </right>
      <top/>
      <bottom style="thin">
        <color indexed="64"/>
      </bottom>
      <diagonal/>
    </border>
    <border>
      <left/>
      <right style="thin">
        <color rgb="FF666666"/>
      </right>
      <top style="medium">
        <color indexed="64"/>
      </top>
      <bottom/>
      <diagonal/>
    </border>
    <border>
      <left/>
      <right style="thin">
        <color rgb="FF666666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66666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666666"/>
      </left>
      <right style="medium">
        <color indexed="64"/>
      </right>
      <top style="thin">
        <color rgb="FF666666"/>
      </top>
      <bottom style="medium">
        <color indexed="64"/>
      </bottom>
      <diagonal/>
    </border>
    <border>
      <left style="medium">
        <color indexed="64"/>
      </left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1F4E78"/>
      </top>
      <bottom style="thin">
        <color indexed="64"/>
      </bottom>
      <diagonal/>
    </border>
    <border>
      <left/>
      <right style="thin">
        <color rgb="FF000000"/>
      </right>
      <top style="thin">
        <color rgb="FF666666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1F4E78"/>
      </top>
      <bottom/>
      <diagonal/>
    </border>
  </borders>
  <cellStyleXfs count="4">
    <xf numFmtId="0" fontId="0" fillId="0" borderId="1" applyAlignment="1">
      <alignment vertical="center"/>
    </xf>
    <xf numFmtId="41" fontId="2" fillId="0" borderId="1" applyAlignment="1">
      <alignment vertical="center"/>
    </xf>
    <xf numFmtId="9" fontId="2" fillId="0" borderId="1" applyAlignment="1">
      <alignment vertical="center"/>
    </xf>
    <xf numFmtId="0" fontId="5" fillId="0" borderId="1"/>
  </cellStyleXfs>
  <cellXfs count="272">
    <xf numFmtId="0" fontId="0" fillId="0" borderId="0" applyAlignment="1" pivotButton="0" quotePrefix="0" xfId="0">
      <alignment vertical="center"/>
    </xf>
    <xf numFmtId="14" fontId="4" fillId="0" borderId="0" applyAlignment="1" pivotButton="0" quotePrefix="0" xfId="1">
      <alignment horizontal="center"/>
    </xf>
    <xf numFmtId="10" fontId="4" fillId="0" borderId="0" pivotButton="0" quotePrefix="0" xfId="2"/>
    <xf numFmtId="14" fontId="4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9" fontId="4" fillId="0" borderId="0" pivotButton="0" quotePrefix="0" xfId="0"/>
    <xf numFmtId="0" fontId="4" fillId="0" borderId="0" applyAlignment="1" pivotButton="0" quotePrefix="0" xfId="0">
      <alignment horizontal="center"/>
    </xf>
    <xf numFmtId="0" fontId="3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0" pivotButton="0" quotePrefix="0" xfId="0"/>
    <xf numFmtId="10" fontId="0" fillId="0" borderId="0" pivotButton="0" quotePrefix="0" xfId="2"/>
    <xf numFmtId="0" fontId="0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horizontal="center" vertical="center" wrapText="1"/>
    </xf>
    <xf numFmtId="3" fontId="9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4" fontId="8" fillId="0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vertical="center" wrapText="1"/>
    </xf>
    <xf numFmtId="9" fontId="4" fillId="0" borderId="1" pivotButton="0" quotePrefix="0" xfId="0"/>
    <xf numFmtId="0" fontId="4" fillId="0" borderId="1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14" fontId="4" fillId="0" borderId="1" applyAlignment="1" pivotButton="0" quotePrefix="0" xfId="1">
      <alignment horizontal="center"/>
    </xf>
    <xf numFmtId="10" fontId="4" fillId="0" borderId="1" pivotButton="0" quotePrefix="0" xfId="2"/>
    <xf numFmtId="0" fontId="4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1" pivotButton="0" quotePrefix="0" xfId="0"/>
    <xf numFmtId="3" fontId="13" fillId="6" borderId="2" applyAlignment="1" pivotButton="0" quotePrefix="0" xfId="0">
      <alignment horizontal="center" vertical="center" wrapText="1"/>
    </xf>
    <xf numFmtId="0" fontId="10" fillId="7" borderId="52" applyAlignment="1" pivotButton="0" quotePrefix="0" xfId="0">
      <alignment horizontal="left" vertical="center"/>
    </xf>
    <xf numFmtId="0" fontId="10" fillId="7" borderId="53" applyAlignment="1" pivotButton="0" quotePrefix="0" xfId="0">
      <alignment horizontal="left" vertical="center"/>
    </xf>
    <xf numFmtId="14" fontId="10" fillId="7" borderId="53" applyAlignment="1" pivotButton="0" quotePrefix="0" xfId="0">
      <alignment horizontal="left" vertical="center"/>
    </xf>
    <xf numFmtId="14" fontId="12" fillId="9" borderId="2" applyAlignment="1" pivotButton="0" quotePrefix="0" xfId="0">
      <alignment horizontal="center" vertical="center" wrapText="1"/>
    </xf>
    <xf numFmtId="0" fontId="12" fillId="9" borderId="55" applyAlignment="1" pivotButton="0" quotePrefix="0" xfId="0">
      <alignment horizontal="center" vertical="center" wrapText="1"/>
    </xf>
    <xf numFmtId="0" fontId="10" fillId="7" borderId="42" applyAlignment="1" pivotButton="0" quotePrefix="0" xfId="0">
      <alignment horizontal="left" vertical="center"/>
    </xf>
    <xf numFmtId="0" fontId="10" fillId="7" borderId="43" applyAlignment="1" pivotButton="0" quotePrefix="0" xfId="0">
      <alignment horizontal="left" vertical="center"/>
    </xf>
    <xf numFmtId="14" fontId="10" fillId="7" borderId="43" applyAlignment="1" pivotButton="0" quotePrefix="0" xfId="0">
      <alignment horizontal="left" vertical="center"/>
    </xf>
    <xf numFmtId="14" fontId="10" fillId="7" borderId="44" applyAlignment="1" pivotButton="0" quotePrefix="0" xfId="0">
      <alignment horizontal="left" vertical="center"/>
    </xf>
    <xf numFmtId="49" fontId="12" fillId="9" borderId="2" applyAlignment="1" pivotButton="0" quotePrefix="0" xfId="0">
      <alignment horizontal="center" vertical="center" wrapText="1"/>
    </xf>
    <xf numFmtId="0" fontId="11" fillId="8" borderId="40" applyAlignment="1" pivotButton="0" quotePrefix="0" xfId="0">
      <alignment horizontal="center" vertical="center" wrapText="1"/>
    </xf>
    <xf numFmtId="0" fontId="11" fillId="8" borderId="29" applyAlignment="1" pivotButton="0" quotePrefix="0" xfId="0">
      <alignment horizontal="center" vertical="center" wrapText="1"/>
    </xf>
    <xf numFmtId="0" fontId="11" fillId="8" borderId="45" applyAlignment="1" pivotButton="0" quotePrefix="0" xfId="0">
      <alignment horizontal="center" vertical="center" wrapText="1"/>
    </xf>
    <xf numFmtId="3" fontId="12" fillId="9" borderId="2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center"/>
    </xf>
    <xf numFmtId="0" fontId="9" fillId="3" borderId="64" applyAlignment="1" pivotButton="0" quotePrefix="0" xfId="0">
      <alignment horizontal="center" vertical="center" wrapText="1"/>
    </xf>
    <xf numFmtId="0" fontId="10" fillId="4" borderId="62" applyAlignment="1" pivotButton="0" quotePrefix="0" xfId="0">
      <alignment horizontal="right" vertical="center"/>
    </xf>
    <xf numFmtId="0" fontId="9" fillId="3" borderId="38" applyAlignment="1" pivotButton="0" quotePrefix="0" xfId="0">
      <alignment horizontal="center" vertical="center" wrapText="1"/>
    </xf>
    <xf numFmtId="4" fontId="9" fillId="3" borderId="2" applyAlignment="1" pivotButton="0" quotePrefix="0" xfId="0">
      <alignment horizontal="center" vertical="center" wrapText="1"/>
    </xf>
    <xf numFmtId="0" fontId="8" fillId="6" borderId="64" applyAlignment="1" pivotButton="0" quotePrefix="0" xfId="0">
      <alignment horizontal="center" vertical="center" wrapText="1"/>
    </xf>
    <xf numFmtId="4" fontId="8" fillId="6" borderId="65" applyAlignment="1" pivotButton="0" quotePrefix="0" xfId="0">
      <alignment horizontal="center" vertical="center" wrapText="1"/>
    </xf>
    <xf numFmtId="0" fontId="8" fillId="5" borderId="63" applyAlignment="1" pivotButton="0" quotePrefix="0" xfId="0">
      <alignment horizontal="center" vertical="center" wrapText="1"/>
    </xf>
    <xf numFmtId="0" fontId="8" fillId="5" borderId="46" applyAlignment="1" pivotButton="0" quotePrefix="0" xfId="0">
      <alignment horizontal="center" vertical="center" wrapText="1"/>
    </xf>
    <xf numFmtId="14" fontId="9" fillId="3" borderId="2" applyAlignment="1" pivotButton="0" quotePrefix="0" xfId="0">
      <alignment horizontal="center" vertical="center" wrapText="1"/>
    </xf>
    <xf numFmtId="9" fontId="9" fillId="3" borderId="2" applyAlignment="1" pivotButton="0" quotePrefix="0" xfId="0">
      <alignment horizontal="center" vertical="center" wrapText="1"/>
    </xf>
    <xf numFmtId="3" fontId="9" fillId="3" borderId="46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/>
    </xf>
    <xf numFmtId="3" fontId="13" fillId="6" borderId="65" applyAlignment="1" pivotButton="0" quotePrefix="0" xfId="0">
      <alignment horizontal="center" vertical="center" wrapText="1"/>
    </xf>
    <xf numFmtId="14" fontId="10" fillId="7" borderId="82" applyAlignment="1" pivotButton="0" quotePrefix="0" xfId="0">
      <alignment horizontal="left" vertical="center"/>
    </xf>
    <xf numFmtId="0" fontId="10" fillId="4" borderId="61" applyAlignment="1" pivotButton="0" quotePrefix="0" xfId="0">
      <alignment horizontal="left" vertical="center"/>
    </xf>
    <xf numFmtId="0" fontId="10" fillId="4" borderId="62" applyAlignment="1" pivotButton="0" quotePrefix="0" xfId="0">
      <alignment horizontal="left" vertical="center"/>
    </xf>
    <xf numFmtId="3" fontId="9" fillId="3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5" borderId="23" applyAlignment="1" pivotButton="0" quotePrefix="0" xfId="0">
      <alignment horizontal="center" vertical="center" wrapText="1"/>
    </xf>
    <xf numFmtId="0" fontId="8" fillId="5" borderId="35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5" borderId="2" applyAlignment="1" pivotButton="0" quotePrefix="0" xfId="0">
      <alignment horizontal="center" vertical="center" wrapText="1"/>
    </xf>
    <xf numFmtId="0" fontId="8" fillId="5" borderId="38" applyAlignment="1" pivotButton="0" quotePrefix="0" xfId="0">
      <alignment horizontal="center" vertical="center" wrapText="1"/>
    </xf>
    <xf numFmtId="0" fontId="11" fillId="8" borderId="28" applyAlignment="1" pivotButton="0" quotePrefix="0" xfId="0">
      <alignment horizontal="center" vertical="center" wrapText="1"/>
    </xf>
    <xf numFmtId="0" fontId="13" fillId="6" borderId="20" applyAlignment="1" pivotButton="0" quotePrefix="0" xfId="0">
      <alignment horizontal="center" vertical="center" wrapText="1"/>
    </xf>
    <xf numFmtId="0" fontId="13" fillId="6" borderId="21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3" fillId="6" borderId="65" applyAlignment="1" pivotButton="0" quotePrefix="0" xfId="0">
      <alignment horizontal="center" vertical="center" wrapText="1"/>
    </xf>
    <xf numFmtId="0" fontId="12" fillId="9" borderId="38" applyAlignment="1" pivotButton="0" quotePrefix="0" xfId="0">
      <alignment horizontal="center" vertical="center" wrapText="1"/>
    </xf>
    <xf numFmtId="164" fontId="9" fillId="3" borderId="2" applyAlignment="1" pivotButton="0" quotePrefix="0" xfId="0">
      <alignment horizontal="center" vertical="center" wrapText="1"/>
    </xf>
    <xf numFmtId="164" fontId="8" fillId="6" borderId="65" applyAlignment="1" pivotButton="0" quotePrefix="0" xfId="0">
      <alignment horizontal="center" vertical="center" wrapText="1"/>
    </xf>
    <xf numFmtId="165" fontId="4" fillId="0" borderId="0" pivotButton="0" quotePrefix="0" xfId="1"/>
    <xf numFmtId="166" fontId="4" fillId="0" borderId="0" pivotButton="0" quotePrefix="0" xfId="1"/>
    <xf numFmtId="0" fontId="14" fillId="9" borderId="38" applyAlignment="1" pivotButton="0" quotePrefix="0" xfId="0">
      <alignment horizontal="center" vertical="center" wrapText="1"/>
    </xf>
    <xf numFmtId="14" fontId="14" fillId="9" borderId="2" applyAlignment="1" pivotButton="0" quotePrefix="0" xfId="0">
      <alignment horizontal="center" vertical="center" wrapText="1"/>
    </xf>
    <xf numFmtId="3" fontId="14" fillId="9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3" fontId="14" fillId="9" borderId="46" applyAlignment="1" pivotButton="0" quotePrefix="0" xfId="0">
      <alignment horizontal="center" vertical="center" wrapText="1"/>
    </xf>
    <xf numFmtId="166" fontId="4" fillId="0" borderId="1" pivotButton="0" quotePrefix="0" xfId="1"/>
    <xf numFmtId="164" fontId="9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4" fillId="0" borderId="1" pivotButton="0" quotePrefix="0" xfId="0"/>
    <xf numFmtId="165" fontId="4" fillId="0" borderId="1" pivotButton="0" quotePrefix="0" xfId="1"/>
    <xf numFmtId="166" fontId="0" fillId="0" borderId="1" pivotButton="0" quotePrefix="0" xfId="1"/>
    <xf numFmtId="0" fontId="8" fillId="8" borderId="2" applyAlignment="1" pivotButton="0" quotePrefix="0" xfId="0">
      <alignment horizontal="center" vertical="center" wrapText="1"/>
    </xf>
    <xf numFmtId="4" fontId="14" fillId="9" borderId="2" applyAlignment="1" pivotButton="0" quotePrefix="0" xfId="0">
      <alignment horizontal="center" vertical="center" wrapText="1"/>
    </xf>
    <xf numFmtId="164" fontId="14" fillId="9" borderId="2" applyAlignment="1" pivotButton="0" quotePrefix="0" xfId="0">
      <alignment horizontal="center" vertical="center" wrapText="1"/>
    </xf>
    <xf numFmtId="0" fontId="0" fillId="0" borderId="21" pivotButton="0" quotePrefix="0" xfId="0"/>
    <xf numFmtId="167" fontId="13" fillId="6" borderId="2" applyAlignment="1" pivotButton="0" quotePrefix="0" xfId="0">
      <alignment horizontal="center" vertical="center" wrapText="1"/>
    </xf>
    <xf numFmtId="168" fontId="13" fillId="6" borderId="2" applyAlignment="1" pivotButton="0" quotePrefix="0" xfId="0">
      <alignment horizontal="center" vertical="center" wrapText="1"/>
    </xf>
    <xf numFmtId="168" fontId="13" fillId="6" borderId="65" applyAlignment="1" pivotButton="0" quotePrefix="0" xfId="0">
      <alignment horizontal="center" vertical="center" wrapText="1"/>
    </xf>
    <xf numFmtId="0" fontId="8" fillId="5" borderId="23" applyAlignment="1" pivotButton="0" quotePrefix="0" xfId="0">
      <alignment horizontal="center" vertical="center" wrapText="1"/>
    </xf>
    <xf numFmtId="0" fontId="0" fillId="0" borderId="16" pivotButton="0" quotePrefix="0" xfId="0"/>
    <xf numFmtId="0" fontId="8" fillId="8" borderId="69" applyAlignment="1" pivotButton="0" quotePrefix="0" xfId="0">
      <alignment horizontal="center" vertical="center" wrapText="1"/>
    </xf>
    <xf numFmtId="0" fontId="0" fillId="0" borderId="49" pivotButton="0" quotePrefix="0" xfId="0"/>
    <xf numFmtId="3" fontId="9" fillId="3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5" borderId="2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7" pivotButton="0" quotePrefix="0" xfId="0"/>
    <xf numFmtId="0" fontId="0" fillId="0" borderId="10" pivotButton="0" quotePrefix="0" xfId="0"/>
    <xf numFmtId="0" fontId="14" fillId="9" borderId="2" applyAlignment="1" pivotButton="0" quotePrefix="0" xfId="0">
      <alignment horizontal="center" vertical="center" wrapText="1"/>
    </xf>
    <xf numFmtId="0" fontId="10" fillId="7" borderId="68" applyAlignment="1" pivotButton="0" quotePrefix="0" xfId="0">
      <alignment horizontal="left" vertical="center"/>
    </xf>
    <xf numFmtId="0" fontId="0" fillId="0" borderId="76" pivotButton="0" quotePrefix="0" xfId="0"/>
    <xf numFmtId="0" fontId="0" fillId="0" borderId="91" pivotButton="0" quotePrefix="0" xfId="0"/>
    <xf numFmtId="3" fontId="14" fillId="9" borderId="2" applyAlignment="1" pivotButton="0" quotePrefix="0" xfId="0">
      <alignment horizontal="center" vertical="center" wrapText="1"/>
    </xf>
    <xf numFmtId="0" fontId="10" fillId="4" borderId="59" applyAlignment="1" pivotButton="0" quotePrefix="0" xfId="0">
      <alignment horizontal="left" vertical="center"/>
    </xf>
    <xf numFmtId="0" fontId="0" fillId="0" borderId="60" pivotButton="0" quotePrefix="0" xfId="0"/>
    <xf numFmtId="0" fontId="8" fillId="5" borderId="35" applyAlignment="1" pivotButton="0" quotePrefix="0" xfId="0">
      <alignment horizontal="center" vertical="center" wrapText="1"/>
    </xf>
    <xf numFmtId="3" fontId="14" fillId="9" borderId="69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8" fillId="5" borderId="2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7" pivotButton="0" quotePrefix="0" xfId="0"/>
    <xf numFmtId="0" fontId="0" fillId="0" borderId="89" pivotButton="0" quotePrefix="0" xfId="0"/>
    <xf numFmtId="0" fontId="8" fillId="8" borderId="34" applyAlignment="1" pivotButton="0" quotePrefix="0" xfId="0">
      <alignment horizontal="center" vertical="center" wrapText="1"/>
    </xf>
    <xf numFmtId="0" fontId="10" fillId="4" borderId="92" applyAlignment="1" pivotButton="0" quotePrefix="0" xfId="0">
      <alignment horizontal="left" vertical="center"/>
    </xf>
    <xf numFmtId="0" fontId="0" fillId="0" borderId="77" pivotButton="0" quotePrefix="0" xfId="0"/>
    <xf numFmtId="49" fontId="9" fillId="9" borderId="94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13" pivotButton="0" quotePrefix="0" xfId="0"/>
    <xf numFmtId="0" fontId="0" fillId="0" borderId="70" pivotButton="0" quotePrefix="0" xfId="0"/>
    <xf numFmtId="0" fontId="0" fillId="0" borderId="73" pivotButton="0" quotePrefix="0" xfId="0"/>
    <xf numFmtId="0" fontId="0" fillId="0" borderId="75" pivotButton="0" quotePrefix="0" xfId="0"/>
    <xf numFmtId="166" fontId="0" fillId="0" borderId="1" applyAlignment="1" pivotButton="0" quotePrefix="0" xfId="1">
      <alignment horizontal="center"/>
    </xf>
    <xf numFmtId="3" fontId="8" fillId="6" borderId="56" applyAlignment="1" pivotButton="0" quotePrefix="0" xfId="0">
      <alignment horizontal="center" vertical="center" wrapText="1"/>
    </xf>
    <xf numFmtId="0" fontId="0" fillId="0" borderId="81" pivotButton="0" quotePrefix="0" xfId="0"/>
    <xf numFmtId="0" fontId="9" fillId="3" borderId="88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3" fontId="14" fillId="9" borderId="34" applyAlignment="1" pivotButton="0" quotePrefix="0" xfId="0">
      <alignment horizontal="center" vertical="center" wrapText="1"/>
    </xf>
    <xf numFmtId="3" fontId="9" fillId="9" borderId="95" applyAlignment="1" pivotButton="0" quotePrefix="0" xfId="0">
      <alignment horizontal="center" vertical="center" wrapText="1"/>
    </xf>
    <xf numFmtId="0" fontId="0" fillId="0" borderId="71" pivotButton="0" quotePrefix="0" xfId="0"/>
    <xf numFmtId="0" fontId="9" fillId="3" borderId="5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8" pivotButton="0" quotePrefix="0" xfId="0"/>
    <xf numFmtId="3" fontId="14" fillId="9" borderId="7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74" pivotButton="0" quotePrefix="0" xfId="0"/>
    <xf numFmtId="14" fontId="8" fillId="5" borderId="9" applyAlignment="1" pivotButton="0" quotePrefix="0" xfId="0">
      <alignment horizontal="center" vertical="center" wrapText="1"/>
    </xf>
    <xf numFmtId="0" fontId="0" fillId="0" borderId="6" pivotButton="0" quotePrefix="0" xfId="0"/>
    <xf numFmtId="3" fontId="8" fillId="6" borderId="65" applyAlignment="1" pivotButton="0" quotePrefix="0" xfId="0">
      <alignment horizontal="center" vertical="center" wrapText="1"/>
    </xf>
    <xf numFmtId="0" fontId="0" fillId="0" borderId="57" pivotButton="0" quotePrefix="0" xfId="0"/>
    <xf numFmtId="0" fontId="9" fillId="3" borderId="2" applyAlignment="1" pivotButton="0" quotePrefix="0" xfId="0">
      <alignment horizontal="center" vertical="center" wrapText="1"/>
    </xf>
    <xf numFmtId="0" fontId="0" fillId="0" borderId="37" pivotButton="0" quotePrefix="0" xfId="0"/>
    <xf numFmtId="0" fontId="10" fillId="4" borderId="93" applyAlignment="1" pivotButton="0" quotePrefix="0" xfId="0">
      <alignment horizontal="left" vertical="center"/>
    </xf>
    <xf numFmtId="0" fontId="0" fillId="0" borderId="61" pivotButton="0" quotePrefix="0" xfId="0"/>
    <xf numFmtId="0" fontId="0" fillId="0" borderId="62" pivotButton="0" quotePrefix="0" xfId="0"/>
    <xf numFmtId="164" fontId="14" fillId="9" borderId="72" applyAlignment="1" pivotButton="0" quotePrefix="0" xfId="0">
      <alignment horizontal="center" vertical="center" wrapText="1"/>
    </xf>
    <xf numFmtId="0" fontId="8" fillId="3" borderId="69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51" pivotButton="0" quotePrefix="0" xfId="0"/>
    <xf numFmtId="0" fontId="0" fillId="0" borderId="0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7" fillId="2" borderId="1" applyAlignment="1" pivotButton="0" quotePrefix="0" xfId="0">
      <alignment horizontal="left" vertical="center"/>
    </xf>
    <xf numFmtId="0" fontId="9" fillId="3" borderId="65" applyAlignment="1" pivotButton="0" quotePrefix="0" xfId="0">
      <alignment horizontal="center" vertical="center" wrapText="1"/>
    </xf>
    <xf numFmtId="166" fontId="8" fillId="5" borderId="33" applyAlignment="1" pivotButton="0" quotePrefix="0" xfId="0">
      <alignment horizontal="center" vertical="center" wrapText="1"/>
    </xf>
    <xf numFmtId="0" fontId="0" fillId="0" borderId="87" pivotButton="0" quotePrefix="0" xfId="0"/>
    <xf numFmtId="0" fontId="8" fillId="5" borderId="38" applyAlignment="1" pivotButton="0" quotePrefix="0" xfId="0">
      <alignment horizontal="center" vertical="center" wrapText="1"/>
    </xf>
    <xf numFmtId="0" fontId="8" fillId="8" borderId="59" applyAlignment="1" pivotButton="0" quotePrefix="0" xfId="0">
      <alignment horizontal="center" vertical="center" wrapText="1"/>
    </xf>
    <xf numFmtId="0" fontId="8" fillId="8" borderId="78" applyAlignment="1" pivotButton="0" quotePrefix="0" xfId="0">
      <alignment horizontal="center" vertical="center" wrapText="1"/>
    </xf>
    <xf numFmtId="0" fontId="8" fillId="5" borderId="78" applyAlignment="1" pivotButton="0" quotePrefix="0" xfId="0">
      <alignment horizontal="center" vertical="center" wrapText="1"/>
    </xf>
    <xf numFmtId="0" fontId="0" fillId="0" borderId="79" pivotButton="0" quotePrefix="0" xfId="0"/>
    <xf numFmtId="0" fontId="8" fillId="5" borderId="80" applyAlignment="1" pivotButton="0" quotePrefix="0" xfId="0">
      <alignment horizontal="center" vertical="center" wrapText="1"/>
    </xf>
    <xf numFmtId="0" fontId="0" fillId="0" borderId="90" pivotButton="0" quotePrefix="0" xfId="0"/>
    <xf numFmtId="0" fontId="8" fillId="8" borderId="80" applyAlignment="1" pivotButton="0" quotePrefix="0" xfId="0">
      <alignment horizontal="center" vertical="center" wrapText="1"/>
    </xf>
    <xf numFmtId="0" fontId="10" fillId="4" borderId="9" applyAlignment="1" pivotButton="0" quotePrefix="0" xfId="0">
      <alignment horizontal="left" vertical="center"/>
    </xf>
    <xf numFmtId="0" fontId="8" fillId="5" borderId="59" applyAlignment="1" pivotButton="0" quotePrefix="0" xfId="0">
      <alignment horizontal="center" vertical="center" wrapText="1"/>
    </xf>
    <xf numFmtId="0" fontId="12" fillId="9" borderId="32" applyAlignment="1" pivotButton="0" quotePrefix="0" xfId="0">
      <alignment horizontal="center" vertical="center" wrapText="1"/>
    </xf>
    <xf numFmtId="0" fontId="0" fillId="0" borderId="101" pivotButton="0" quotePrefix="0" xfId="0"/>
    <xf numFmtId="49" fontId="12" fillId="9" borderId="46" applyAlignment="1" pivotButton="0" quotePrefix="0" xfId="0">
      <alignment horizontal="center" vertical="center" wrapText="1"/>
    </xf>
    <xf numFmtId="0" fontId="0" fillId="0" borderId="47" pivotButton="0" quotePrefix="0" xfId="0"/>
    <xf numFmtId="0" fontId="12" fillId="9" borderId="39" applyAlignment="1" pivotButton="0" quotePrefix="0" xfId="0">
      <alignment horizontal="center" vertical="center" wrapText="1"/>
    </xf>
    <xf numFmtId="0" fontId="0" fillId="0" borderId="39" pivotButton="0" quotePrefix="0" xfId="0"/>
    <xf numFmtId="165" fontId="12" fillId="9" borderId="46" applyAlignment="1" pivotButton="0" quotePrefix="0" xfId="0">
      <alignment horizontal="center" vertical="center" wrapText="1"/>
    </xf>
    <xf numFmtId="0" fontId="11" fillId="8" borderId="2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3" fillId="6" borderId="64" applyAlignment="1" pivotButton="0" quotePrefix="0" xfId="0">
      <alignment horizontal="center" vertical="center" wrapText="1"/>
    </xf>
    <xf numFmtId="2" fontId="12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165" fontId="12" fillId="9" borderId="2" applyAlignment="1" pivotButton="0" quotePrefix="0" xfId="0">
      <alignment horizontal="center" vertical="center" wrapText="1"/>
    </xf>
    <xf numFmtId="14" fontId="10" fillId="7" borderId="62" applyAlignment="1" pivotButton="0" quotePrefix="0" xfId="0">
      <alignment horizontal="right" vertical="center"/>
    </xf>
    <xf numFmtId="10" fontId="12" fillId="9" borderId="2" applyAlignment="1" pivotButton="0" quotePrefix="0" xfId="0">
      <alignment horizontal="center" vertical="center" wrapText="1"/>
    </xf>
    <xf numFmtId="165" fontId="13" fillId="6" borderId="48" applyAlignment="1" pivotButton="0" quotePrefix="0" xfId="0">
      <alignment horizontal="center" vertical="center" wrapText="1"/>
    </xf>
    <xf numFmtId="0" fontId="0" fillId="0" borderId="96" pivotButton="0" quotePrefix="0" xfId="0"/>
    <xf numFmtId="0" fontId="11" fillId="8" borderId="31" applyAlignment="1" pivotButton="0" quotePrefix="0" xfId="0">
      <alignment horizontal="center" vertical="center" wrapText="1"/>
    </xf>
    <xf numFmtId="0" fontId="0" fillId="0" borderId="104" pivotButton="0" quotePrefix="0" xfId="0"/>
    <xf numFmtId="0" fontId="0" fillId="0" borderId="105" pivotButton="0" quotePrefix="0" xfId="0"/>
    <xf numFmtId="0" fontId="11" fillId="8" borderId="103" applyAlignment="1" pivotButton="0" quotePrefix="0" xfId="0">
      <alignment horizontal="center" vertical="center" wrapText="1"/>
    </xf>
    <xf numFmtId="0" fontId="0" fillId="0" borderId="58" pivotButton="0" quotePrefix="0" xfId="0"/>
    <xf numFmtId="0" fontId="12" fillId="9" borderId="38" applyAlignment="1" pivotButton="0" quotePrefix="0" xfId="0">
      <alignment horizontal="center" vertical="center" wrapText="1"/>
    </xf>
    <xf numFmtId="0" fontId="11" fillId="8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13" fillId="6" borderId="65" applyAlignment="1" pivotButton="0" quotePrefix="0" xfId="0">
      <alignment horizontal="center" vertical="center" wrapText="1"/>
    </xf>
    <xf numFmtId="0" fontId="13" fillId="6" borderId="56" applyAlignment="1" pivotButton="0" quotePrefix="0" xfId="0">
      <alignment horizontal="center" vertical="center" wrapText="1"/>
    </xf>
    <xf numFmtId="0" fontId="13" fillId="6" borderId="81" applyAlignment="1" pivotButton="0" quotePrefix="0" xfId="0">
      <alignment horizontal="center" vertical="center" wrapText="1"/>
    </xf>
    <xf numFmtId="168" fontId="12" fillId="6" borderId="30" applyAlignment="1" pivotButton="0" quotePrefix="0" xfId="0">
      <alignment horizontal="center" vertical="center" wrapText="1"/>
    </xf>
    <xf numFmtId="0" fontId="0" fillId="0" borderId="100" pivotButton="0" quotePrefix="0" xfId="0"/>
    <xf numFmtId="10" fontId="13" fillId="6" borderId="30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3" fillId="6" borderId="38" applyAlignment="1" pivotButton="0" quotePrefix="0" xfId="0">
      <alignment horizontal="center" vertical="center" wrapText="1"/>
    </xf>
    <xf numFmtId="0" fontId="0" fillId="0" borderId="54" pivotButton="0" quotePrefix="0" xfId="0"/>
    <xf numFmtId="0" fontId="13" fillId="6" borderId="1" applyAlignment="1" pivotButton="0" quotePrefix="0" xfId="0">
      <alignment horizontal="center" vertical="center" wrapText="1"/>
    </xf>
    <xf numFmtId="0" fontId="12" fillId="9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12" fillId="9" borderId="21" applyAlignment="1" pivotButton="0" quotePrefix="0" xfId="0">
      <alignment horizontal="center" vertical="center" wrapText="1"/>
    </xf>
    <xf numFmtId="0" fontId="12" fillId="9" borderId="46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6" borderId="21" applyAlignment="1" pivotButton="0" quotePrefix="0" xfId="0">
      <alignment horizontal="center" vertical="center" wrapText="1"/>
    </xf>
    <xf numFmtId="0" fontId="11" fillId="8" borderId="35" applyAlignment="1" pivotButton="0" quotePrefix="0" xfId="0">
      <alignment horizontal="center" vertical="center" wrapText="1"/>
    </xf>
    <xf numFmtId="49" fontId="13" fillId="6" borderId="48" applyAlignment="1" pivotButton="0" quotePrefix="0" xfId="0">
      <alignment horizontal="center" vertical="center" wrapText="1"/>
    </xf>
    <xf numFmtId="0" fontId="13" fillId="6" borderId="83" applyAlignment="1" pivotButton="0" quotePrefix="0" xfId="0">
      <alignment horizontal="center" vertical="center" wrapText="1"/>
    </xf>
    <xf numFmtId="0" fontId="0" fillId="0" borderId="102" pivotButton="0" quotePrefix="0" xfId="0"/>
    <xf numFmtId="0" fontId="0" fillId="0" borderId="25" pivotButton="0" quotePrefix="0" xfId="0"/>
    <xf numFmtId="0" fontId="11" fillId="8" borderId="23" applyAlignment="1" pivotButton="0" quotePrefix="0" xfId="0">
      <alignment horizontal="center" vertical="center" wrapText="1"/>
    </xf>
    <xf numFmtId="0" fontId="7" fillId="2" borderId="50" applyAlignment="1" pivotButton="0" quotePrefix="0" xfId="0">
      <alignment horizontal="center" vertical="center"/>
    </xf>
    <xf numFmtId="3" fontId="12" fillId="9" borderId="32" applyAlignment="1" pivotButton="0" quotePrefix="0" xfId="0">
      <alignment horizontal="center" vertical="center" wrapText="1"/>
    </xf>
    <xf numFmtId="0" fontId="11" fillId="8" borderId="17" applyAlignment="1" pivotButton="0" quotePrefix="0" xfId="0">
      <alignment horizontal="center" vertical="center" wrapText="1"/>
    </xf>
    <xf numFmtId="0" fontId="0" fillId="0" borderId="3" pivotButton="0" quotePrefix="0" xfId="0"/>
    <xf numFmtId="167" fontId="13" fillId="6" borderId="2" applyAlignment="1" pivotButton="0" quotePrefix="0" xfId="0">
      <alignment horizontal="center" vertical="center" wrapText="1"/>
    </xf>
    <xf numFmtId="0" fontId="10" fillId="7" borderId="51" applyAlignment="1" pivotButton="0" quotePrefix="0" xfId="0">
      <alignment horizontal="center" vertical="center"/>
    </xf>
    <xf numFmtId="0" fontId="11" fillId="8" borderId="24" applyAlignment="1" pivotButton="0" quotePrefix="0" xfId="0">
      <alignment horizontal="center" vertical="center" wrapText="1"/>
    </xf>
    <xf numFmtId="167" fontId="13" fillId="6" borderId="65" applyAlignment="1" pivotButton="0" quotePrefix="0" xfId="0">
      <alignment horizontal="center" vertical="center" wrapText="1"/>
    </xf>
    <xf numFmtId="0" fontId="13" fillId="6" borderId="4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9" pivotButton="0" quotePrefix="0" xfId="0"/>
    <xf numFmtId="0" fontId="13" fillId="6" borderId="20" applyAlignment="1" pivotButton="0" quotePrefix="0" xfId="0">
      <alignment horizontal="center" vertical="center" wrapText="1"/>
    </xf>
    <xf numFmtId="164" fontId="14" fillId="9" borderId="72" applyAlignment="1" pivotButton="0" quotePrefix="0" xfId="0">
      <alignment horizontal="center" vertical="center" wrapText="1"/>
    </xf>
    <xf numFmtId="164" fontId="9" fillId="3" borderId="2" applyAlignment="1" pivotButton="0" quotePrefix="0" xfId="0">
      <alignment horizontal="center" vertical="center" wrapText="1"/>
    </xf>
    <xf numFmtId="164" fontId="8" fillId="6" borderId="65" applyAlignment="1" pivotButton="0" quotePrefix="0" xfId="0">
      <alignment horizontal="center" vertical="center" wrapText="1"/>
    </xf>
    <xf numFmtId="165" fontId="4" fillId="0" borderId="0" pivotButton="0" quotePrefix="0" xfId="1"/>
    <xf numFmtId="166" fontId="4" fillId="0" borderId="0" pivotButton="0" quotePrefix="0" xfId="1"/>
    <xf numFmtId="166" fontId="0" fillId="0" borderId="1" applyAlignment="1" pivotButton="0" quotePrefix="0" xfId="1">
      <alignment horizontal="center"/>
    </xf>
    <xf numFmtId="166" fontId="8" fillId="5" borderId="33" applyAlignment="1" pivotButton="0" quotePrefix="0" xfId="0">
      <alignment horizontal="center" vertical="center" wrapText="1"/>
    </xf>
    <xf numFmtId="166" fontId="4" fillId="0" borderId="1" pivotButton="0" quotePrefix="0" xfId="1"/>
    <xf numFmtId="164" fontId="9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4" fillId="0" borderId="1" pivotButton="0" quotePrefix="0" xfId="0"/>
    <xf numFmtId="165" fontId="4" fillId="0" borderId="1" pivotButton="0" quotePrefix="0" xfId="1"/>
    <xf numFmtId="166" fontId="0" fillId="0" borderId="1" pivotButton="0" quotePrefix="0" xfId="1"/>
    <xf numFmtId="164" fontId="14" fillId="9" borderId="2" applyAlignment="1" pivotButton="0" quotePrefix="0" xfId="0">
      <alignment horizontal="center" vertical="center" wrapText="1"/>
    </xf>
    <xf numFmtId="167" fontId="13" fillId="6" borderId="2" applyAlignment="1" pivotButton="0" quotePrefix="0" xfId="0">
      <alignment horizontal="center" vertical="center" wrapText="1"/>
    </xf>
    <xf numFmtId="168" fontId="13" fillId="6" borderId="2" applyAlignment="1" pivotButton="0" quotePrefix="0" xfId="0">
      <alignment horizontal="center" vertical="center" wrapText="1"/>
    </xf>
    <xf numFmtId="167" fontId="13" fillId="6" borderId="65" applyAlignment="1" pivotButton="0" quotePrefix="0" xfId="0">
      <alignment horizontal="center" vertical="center" wrapText="1"/>
    </xf>
    <xf numFmtId="168" fontId="13" fillId="6" borderId="65" applyAlignment="1" pivotButton="0" quotePrefix="0" xfId="0">
      <alignment horizontal="center" vertical="center" wrapText="1"/>
    </xf>
    <xf numFmtId="165" fontId="12" fillId="9" borderId="2" applyAlignment="1" pivotButton="0" quotePrefix="0" xfId="0">
      <alignment horizontal="center" vertical="center" wrapText="1"/>
    </xf>
    <xf numFmtId="165" fontId="12" fillId="9" borderId="46" applyAlignment="1" pivotButton="0" quotePrefix="0" xfId="0">
      <alignment horizontal="center" vertical="center" wrapText="1"/>
    </xf>
    <xf numFmtId="168" fontId="12" fillId="6" borderId="30" applyAlignment="1" pivotButton="0" quotePrefix="0" xfId="0">
      <alignment horizontal="center" vertical="center" wrapText="1"/>
    </xf>
    <xf numFmtId="165" fontId="13" fillId="6" borderId="48" applyAlignment="1" pivotButton="0" quotePrefix="0" xfId="0">
      <alignment horizontal="center" vertical="center" wrapText="1"/>
    </xf>
  </cellXfs>
  <cellStyles count="4">
    <cellStyle name="표준" xfId="0" builtinId="0"/>
    <cellStyle name="쉼표 [0]" xfId="1"/>
    <cellStyle name="백분율" xfId="2"/>
    <cellStyle name="표준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RealEstateReport">
  <a:themeElements>
    <a:clrScheme name="RealEstateReport">
      <a:dk1>
        <a:srgbClr val="111827"/>
      </a:dk1>
      <a:lt1>
        <a:srgbClr val="FFFFFF"/>
      </a:lt1>
      <a:dk2>
        <a:srgbClr val="44546A"/>
      </a:dk2>
      <a:lt2>
        <a:srgbClr val="E5E7EB"/>
      </a:lt2>
      <a:accent1>
        <a:srgbClr val="17365D"/>
      </a:accent1>
      <a:accent2>
        <a:srgbClr val="1F4E78"/>
      </a:accent2>
      <a:accent3>
        <a:srgbClr val="D9EAF7"/>
      </a:accent3>
      <a:accent4>
        <a:srgbClr val="F4B183"/>
      </a:accent4>
      <a:accent5>
        <a:srgbClr val="E2F0D9"/>
      </a:accent5>
      <a:accent6>
        <a:srgbClr val="F2F2F2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alEstateRepor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topLeftCell="A19" zoomScale="130" zoomScaleNormal="130" workbookViewId="0">
      <selection activeCell="A35" sqref="A35:J38"/>
    </sheetView>
  </sheetViews>
  <sheetFormatPr baseColWidth="8" defaultRowHeight="16.5"/>
  <cols>
    <col width="10" customWidth="1" style="169" min="1" max="1"/>
    <col width="12" customWidth="1" style="169" min="2" max="3"/>
    <col width="16" customWidth="1" style="169" min="4" max="4"/>
    <col width="12" customWidth="1" style="169" min="5" max="5"/>
    <col width="10" customWidth="1" style="169" min="6" max="6"/>
    <col width="12" customWidth="1" style="169" min="7" max="8"/>
    <col width="20" customWidth="1" style="169" min="9" max="9"/>
    <col width="12" customWidth="1" style="169" min="10" max="10"/>
  </cols>
  <sheetData>
    <row r="1" ht="25.9" customHeight="1" s="169" thickBot="1">
      <c r="A1" s="173" t="inlineStr">
        <is>
          <t>제주시 노형동 뉴월드복합빌딩 물건 분석 보고서</t>
        </is>
      </c>
    </row>
    <row r="2">
      <c r="A2" s="122" t="inlineStr">
        <is>
          <t>물건기본정보</t>
        </is>
      </c>
      <c r="B2" s="123" t="n"/>
      <c r="C2" s="67" t="n"/>
      <c r="D2" s="67" t="n"/>
      <c r="E2" s="67" t="n"/>
      <c r="F2" s="67" t="n"/>
      <c r="G2" s="67" t="n"/>
      <c r="H2" s="67" t="n"/>
      <c r="I2" s="67" t="n"/>
      <c r="J2" s="68" t="n"/>
    </row>
    <row r="3">
      <c r="A3" s="124" t="inlineStr">
        <is>
          <t>용도</t>
        </is>
      </c>
      <c r="B3" s="107" t="inlineStr">
        <is>
          <t>소재지</t>
        </is>
      </c>
      <c r="C3" s="114" t="n"/>
      <c r="D3" s="114" t="n"/>
      <c r="E3" s="114" t="n"/>
      <c r="F3" s="114" t="n"/>
      <c r="G3" s="108" t="n"/>
      <c r="H3" s="113" t="inlineStr">
        <is>
          <t>소유자 / 채무자</t>
        </is>
      </c>
      <c r="I3" s="114" t="n"/>
      <c r="J3" s="115" t="n"/>
    </row>
    <row r="4" ht="18" customHeight="1" s="169" thickBot="1">
      <c r="A4" s="53" t="inlineStr">
        <is>
          <t>상가(근생·업무·교육연구)</t>
        </is>
      </c>
      <c r="B4" s="174" t="inlineStr">
        <is>
          <t>제주특별자치도 제주시 노형동 710, 뉴월드복합빌딩 총 35개호실(지상1~6층 전체·일괄매각)</t>
        </is>
      </c>
      <c r="C4" s="145" t="n"/>
      <c r="D4" s="145" t="n"/>
      <c r="E4" s="145" t="n"/>
      <c r="F4" s="145" t="n"/>
      <c r="G4" s="159" t="n"/>
      <c r="H4" s="150" t="inlineStr">
        <is>
          <t>㈜에이치브릿지(수탁자: 우리자산신탁㈜) / -</t>
        </is>
      </c>
      <c r="I4" s="145" t="n"/>
      <c r="J4" s="143" t="n"/>
    </row>
    <row r="5" ht="18" customFormat="1" customHeight="1" s="18" thickBot="1">
      <c r="A5" s="73" t="n"/>
      <c r="B5" s="73" t="n"/>
      <c r="C5" s="73" t="n"/>
      <c r="D5" s="73" t="n"/>
      <c r="E5" s="73" t="n"/>
      <c r="F5" s="73" t="n"/>
      <c r="G5" s="73" t="n"/>
      <c r="H5" s="73" t="n"/>
      <c r="I5" s="73" t="n"/>
      <c r="J5" s="73" t="n"/>
    </row>
    <row r="6">
      <c r="A6" s="118" t="inlineStr">
        <is>
          <t>채권정보                                                                                                                                                                     (단위 : 원)</t>
        </is>
      </c>
      <c r="B6" s="119" t="n"/>
      <c r="C6" s="119" t="n"/>
      <c r="D6" s="119" t="n"/>
      <c r="E6" s="119" t="n"/>
      <c r="F6" s="119" t="n"/>
      <c r="G6" s="119" t="n"/>
      <c r="H6" s="119" t="n"/>
      <c r="I6" s="119" t="n"/>
      <c r="J6" s="120" t="n"/>
    </row>
    <row r="7">
      <c r="A7" s="109" t="inlineStr">
        <is>
          <t>채권원금</t>
        </is>
      </c>
      <c r="B7" s="110" t="n"/>
      <c r="C7" s="132" t="inlineStr">
        <is>
          <t>채권최고액</t>
        </is>
      </c>
      <c r="D7" s="110" t="n"/>
      <c r="E7" s="132" t="inlineStr">
        <is>
          <t>감정가</t>
        </is>
      </c>
      <c r="F7" s="110" t="n"/>
      <c r="G7" s="132" t="inlineStr">
        <is>
          <t>감정가대비 LTV</t>
        </is>
      </c>
      <c r="H7" s="110" t="n"/>
      <c r="I7" s="132" t="inlineStr">
        <is>
          <t>비고</t>
        </is>
      </c>
      <c r="J7" s="110" t="n"/>
    </row>
    <row r="8" customFormat="1" s="18">
      <c r="A8" s="125" t="n"/>
      <c r="B8" s="110" t="n"/>
      <c r="C8" s="147" t="n"/>
      <c r="D8" s="110" t="n"/>
      <c r="E8" s="153" t="n">
        <v>28248000000</v>
      </c>
      <c r="F8" s="129" t="n"/>
      <c r="G8" s="250">
        <f>A10/E8</f>
        <v/>
      </c>
      <c r="H8" s="129" t="n"/>
      <c r="I8" s="135" t="inlineStr">
        <is>
          <t>신탁공매(우리자산신탁) — 채권정보 해당 없음
최저입찰가격은 부가세 별도(건물분 20%의 10%)</t>
        </is>
      </c>
      <c r="J8" s="136" t="n"/>
    </row>
    <row r="9" customFormat="1" s="18">
      <c r="A9" s="125" t="n"/>
      <c r="B9" s="110" t="n"/>
      <c r="C9" s="147" t="n"/>
      <c r="D9" s="110" t="n"/>
      <c r="E9" s="137" t="n"/>
      <c r="F9" s="154" t="n"/>
      <c r="G9" s="137" t="n"/>
      <c r="H9" s="154" t="n"/>
      <c r="I9" s="137" t="n"/>
      <c r="J9" s="138" t="n"/>
    </row>
    <row r="10" ht="18" customHeight="1" s="169" thickBot="1">
      <c r="A10" s="148">
        <f>SUM(A8:A9)</f>
        <v/>
      </c>
      <c r="B10" s="149" t="n"/>
      <c r="C10" s="153">
        <f>SUM(C8:C9)</f>
        <v/>
      </c>
      <c r="D10" s="149" t="n"/>
      <c r="E10" s="139" t="n"/>
      <c r="F10" s="155" t="n"/>
      <c r="G10" s="139" t="n"/>
      <c r="H10" s="155" t="n"/>
      <c r="I10" s="139" t="n"/>
      <c r="J10" s="140" t="n"/>
    </row>
    <row r="11" ht="18" customFormat="1" customHeight="1" s="18" thickBot="1">
      <c r="A11" s="73" t="n"/>
      <c r="B11" s="73" t="n"/>
      <c r="C11" s="73" t="n"/>
      <c r="D11" s="73" t="n"/>
      <c r="E11" s="73" t="n"/>
      <c r="F11" s="73" t="n"/>
      <c r="G11" s="73" t="n"/>
      <c r="H11" s="73" t="n"/>
      <c r="I11" s="73" t="n"/>
      <c r="J11" s="73" t="n"/>
    </row>
    <row r="12">
      <c r="A12" s="122" t="inlineStr">
        <is>
          <t>감정가정보</t>
        </is>
      </c>
      <c r="B12" s="123" t="n"/>
      <c r="C12" s="67" t="n"/>
      <c r="D12" s="67" t="n"/>
      <c r="E12" s="67" t="n"/>
      <c r="F12" s="67" t="n"/>
      <c r="G12" s="67" t="n"/>
      <c r="H12" s="67" t="n"/>
      <c r="I12" s="67" t="n"/>
      <c r="J12" s="54" t="inlineStr">
        <is>
          <t>(단위 : 원)</t>
        </is>
      </c>
    </row>
    <row r="13">
      <c r="A13" s="124" t="inlineStr">
        <is>
          <t>구분</t>
        </is>
      </c>
      <c r="B13" s="107" t="inlineStr">
        <is>
          <t>면적</t>
        </is>
      </c>
      <c r="C13" s="108" t="n"/>
      <c r="D13" s="107" t="inlineStr">
        <is>
          <t>감정가(법사가)</t>
        </is>
      </c>
      <c r="E13" s="151" t="n"/>
      <c r="F13" s="107" t="inlineStr">
        <is>
          <t>비율</t>
        </is>
      </c>
      <c r="G13" s="107" t="inlineStr">
        <is>
          <t>㎡당금액</t>
        </is>
      </c>
      <c r="H13" s="151" t="n"/>
      <c r="I13" s="113" t="inlineStr">
        <is>
          <t>평당금액</t>
        </is>
      </c>
      <c r="J13" s="129" t="n"/>
    </row>
    <row r="14">
      <c r="A14" s="161" t="n"/>
      <c r="B14" s="128" t="inlineStr">
        <is>
          <t>(㎡)</t>
        </is>
      </c>
      <c r="C14" s="128" t="inlineStr">
        <is>
          <t>(평)</t>
        </is>
      </c>
      <c r="D14" s="130" t="n"/>
      <c r="E14" s="152" t="n"/>
      <c r="F14" s="116" t="n"/>
      <c r="G14" s="130" t="n"/>
      <c r="H14" s="152" t="n"/>
      <c r="I14" s="130" t="n"/>
      <c r="J14" s="131" t="n"/>
    </row>
    <row r="15">
      <c r="A15" s="55" t="inlineStr">
        <is>
          <t>토지</t>
        </is>
      </c>
      <c r="B15" s="56" t="n">
        <v>1113.8</v>
      </c>
      <c r="C15" s="56">
        <f>B15*0.3025</f>
        <v/>
      </c>
      <c r="D15" s="111" t="n">
        <v>22598400000</v>
      </c>
      <c r="E15" s="112" t="n"/>
      <c r="F15" s="251">
        <f>IFERROR(D15/$D$17,0)</f>
        <v/>
      </c>
      <c r="G15" s="111">
        <f>D15/B15</f>
        <v/>
      </c>
      <c r="H15" s="112" t="n"/>
      <c r="I15" s="111">
        <f>D15/C15</f>
        <v/>
      </c>
      <c r="J15" s="112" t="n"/>
    </row>
    <row r="16">
      <c r="A16" s="55" t="inlineStr">
        <is>
          <t>건물</t>
        </is>
      </c>
      <c r="B16" s="56" t="n">
        <v>3763.48</v>
      </c>
      <c r="C16" s="56">
        <f>B16*0.3025</f>
        <v/>
      </c>
      <c r="D16" s="111" t="n">
        <v>5649600000</v>
      </c>
      <c r="E16" s="112" t="n"/>
      <c r="F16" s="251">
        <f>IFERROR(D16/$D$17,0)</f>
        <v/>
      </c>
      <c r="G16" s="111">
        <f>D16/B16</f>
        <v/>
      </c>
      <c r="H16" s="112" t="n"/>
      <c r="I16" s="111">
        <f>D16/C16</f>
        <v/>
      </c>
      <c r="J16" s="112" t="n"/>
    </row>
    <row r="17" ht="18" customHeight="1" s="169" thickBot="1">
      <c r="A17" s="57" t="inlineStr">
        <is>
          <t>합계</t>
        </is>
      </c>
      <c r="B17" s="58">
        <f>SUM(B15:B16)</f>
        <v/>
      </c>
      <c r="C17" s="58">
        <f>SUM(C15:C16)</f>
        <v/>
      </c>
      <c r="D17" s="158">
        <f>SUM(D15:E16)</f>
        <v/>
      </c>
      <c r="E17" s="159" t="n"/>
      <c r="F17" s="252">
        <f>SUM(F15:F16)</f>
        <v/>
      </c>
      <c r="G17" s="158" t="n"/>
      <c r="H17" s="159" t="n"/>
      <c r="I17" s="142" t="n"/>
      <c r="J17" s="143" t="n"/>
      <c r="P17" s="127" t="n"/>
      <c r="Q17" s="127" t="n"/>
      <c r="R17" s="127" t="n"/>
      <c r="S17" s="127" t="n"/>
      <c r="T17" s="127" t="n"/>
      <c r="U17" s="127" t="n"/>
      <c r="V17" s="127" t="n"/>
      <c r="W17" s="127" t="n"/>
      <c r="X17" s="127" t="n"/>
      <c r="Y17" s="127" t="n"/>
      <c r="Z17" s="127" t="n"/>
      <c r="AA17" s="127" t="n"/>
      <c r="AB17" s="127" t="n"/>
      <c r="AC17" s="127" t="n"/>
    </row>
    <row r="18" ht="18" customHeight="1" s="169" thickBot="1">
      <c r="A18" s="127" t="n"/>
      <c r="D18" s="127" t="n"/>
      <c r="E18" s="127" t="n"/>
      <c r="F18" s="127" t="n"/>
      <c r="I18" s="127" t="n"/>
      <c r="J18" s="127" t="n"/>
      <c r="P18" s="127" t="n"/>
      <c r="Q18" s="127" t="n"/>
      <c r="R18" s="127" t="n"/>
      <c r="S18" s="127" t="n"/>
      <c r="T18" s="127" t="n"/>
      <c r="U18" s="127" t="n"/>
      <c r="V18" s="127" t="n"/>
      <c r="W18" s="127" t="n"/>
      <c r="X18" s="127" t="n"/>
      <c r="Y18" s="127" t="n"/>
      <c r="Z18" s="127" t="n"/>
      <c r="AA18" s="127" t="n"/>
      <c r="AB18" s="127" t="n"/>
      <c r="AC18" s="127" t="n"/>
    </row>
    <row r="19">
      <c r="A19" s="122" t="inlineStr">
        <is>
          <t>등기부현황</t>
        </is>
      </c>
      <c r="B19" s="123" t="n"/>
      <c r="C19" s="67" t="n"/>
      <c r="D19" s="67" t="n"/>
      <c r="E19" s="67" t="n"/>
      <c r="F19" s="67" t="n"/>
      <c r="G19" s="67" t="n"/>
      <c r="H19" s="67" t="n"/>
      <c r="I19" s="67" t="n"/>
      <c r="J19" s="68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7" t="n"/>
      <c r="Z19" s="127" t="n"/>
      <c r="AA19" s="127" t="n"/>
      <c r="AB19" s="127" t="n"/>
      <c r="AC19" s="127" t="n"/>
    </row>
    <row r="20" ht="12.4" customHeight="1" s="169">
      <c r="A20" s="124" t="inlineStr">
        <is>
          <t>접수일자</t>
        </is>
      </c>
      <c r="B20" s="108" t="n"/>
      <c r="C20" s="107" t="inlineStr">
        <is>
          <t>종류</t>
        </is>
      </c>
      <c r="D20" s="107" t="inlineStr">
        <is>
          <t>권리자</t>
        </is>
      </c>
      <c r="E20" s="108" t="n"/>
      <c r="F20" s="107" t="inlineStr">
        <is>
          <t>채권액</t>
        </is>
      </c>
      <c r="G20" s="108" t="n"/>
      <c r="H20" s="107" t="inlineStr">
        <is>
          <t>인수</t>
        </is>
      </c>
      <c r="I20" s="113" t="inlineStr">
        <is>
          <t>비고</t>
        </is>
      </c>
      <c r="J20" s="115" t="n"/>
      <c r="P20" s="127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127" t="n"/>
      <c r="AB20" s="127" t="n"/>
      <c r="AC20" s="127" t="n"/>
    </row>
    <row r="21" ht="18" customHeight="1" s="169" thickBot="1">
      <c r="A21" s="144" t="inlineStr">
        <is>
          <t>신탁공매 — 압류 4건: 기호(1) 24.4.2 세무과-13942 / (2)(3)(29) 25.2.21 세무과-7739 / (17) 24.6.13 교통행정과-54402 / (30)(32) 25.10.17 세무과-44805 (권리자 제주특별자치도) · 등기부·신탁원부 확인 필요</t>
        </is>
      </c>
      <c r="B21" s="145" t="n"/>
      <c r="C21" s="145" t="n"/>
      <c r="D21" s="145" t="n"/>
      <c r="E21" s="145" t="n"/>
      <c r="F21" s="145" t="n"/>
      <c r="G21" s="145" t="n"/>
      <c r="H21" s="145" t="n"/>
      <c r="I21" s="145" t="n"/>
      <c r="J21" s="146" t="n"/>
      <c r="P21" s="127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127" t="n"/>
      <c r="AB21" s="127" t="n"/>
      <c r="AC21" s="127" t="n"/>
    </row>
    <row r="22" ht="18" customHeight="1" s="169" thickBo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P22" s="127" t="n"/>
      <c r="Q22" s="9" t="n"/>
      <c r="R22" s="9" t="n"/>
      <c r="S22" s="253" t="n"/>
      <c r="T22" s="253" t="n"/>
      <c r="U22" s="11" t="n"/>
      <c r="V22" s="12" t="n"/>
      <c r="W22" s="1" t="n"/>
      <c r="X22" s="254" t="n"/>
      <c r="Y22" s="2" t="n"/>
      <c r="Z22" s="9" t="n"/>
      <c r="AA22" s="127" t="n"/>
      <c r="AB22" s="127" t="n"/>
      <c r="AC22" s="127" t="n"/>
    </row>
    <row r="23">
      <c r="A23" s="122" t="inlineStr">
        <is>
          <t>임차현황</t>
        </is>
      </c>
      <c r="B23" s="123" t="n"/>
      <c r="C23" s="67" t="n"/>
      <c r="D23" s="67" t="n"/>
      <c r="E23" s="67" t="n"/>
      <c r="F23" s="67" t="n"/>
      <c r="G23" s="67" t="n"/>
      <c r="H23" s="67" t="n"/>
      <c r="I23" s="67" t="n"/>
      <c r="J23" s="68" t="n"/>
      <c r="P23" s="127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127" t="n"/>
      <c r="AB23" s="127" t="n"/>
      <c r="AC23" s="127" t="n"/>
    </row>
    <row r="24">
      <c r="A24" s="124" t="inlineStr">
        <is>
          <t>임차인</t>
        </is>
      </c>
      <c r="B24" s="108" t="n"/>
      <c r="C24" s="107" t="inlineStr">
        <is>
          <t>대항력</t>
        </is>
      </c>
      <c r="D24" s="107" t="inlineStr">
        <is>
          <t>점유</t>
        </is>
      </c>
      <c r="E24" s="108" t="n"/>
      <c r="F24" s="107" t="inlineStr">
        <is>
          <t>전입/확정/배당</t>
        </is>
      </c>
      <c r="G24" s="108" t="n"/>
      <c r="H24" s="107" t="inlineStr">
        <is>
          <t>보증금/월세</t>
        </is>
      </c>
      <c r="I24" s="108" t="n"/>
      <c r="J24" s="59" t="inlineStr">
        <is>
          <t>인수</t>
        </is>
      </c>
      <c r="N24" s="127" t="n"/>
      <c r="O24" s="127" t="n"/>
      <c r="P24" s="127" t="n"/>
      <c r="Q24" s="127" t="n"/>
      <c r="R24" s="127" t="n"/>
      <c r="S24" s="127" t="n"/>
      <c r="T24" s="5" t="n"/>
      <c r="U24" s="5" t="n"/>
      <c r="V24" s="5" t="n"/>
      <c r="W24" s="5" t="n"/>
      <c r="X24" s="5" t="n"/>
      <c r="Y24" s="5" t="n"/>
      <c r="Z24" s="5" t="n"/>
      <c r="AA24" s="127" t="n"/>
      <c r="AB24" s="127" t="n"/>
      <c r="AC24" s="127" t="n"/>
    </row>
    <row r="25" ht="18" customHeight="1" s="169" thickBot="1">
      <c r="A25" s="144" t="inlineStr">
        <is>
          <t>감정평가서상 임대내역 확인 생략(이해관계인 대면 곤란) / 기호(2)~(35)는 경계벽 철거로 호별 전유·공용 구분 없는 상태 / 임차·점유관계 및 미납관리비 별도 확인 필요</t>
        </is>
      </c>
      <c r="B25" s="145" t="n"/>
      <c r="C25" s="145" t="n"/>
      <c r="D25" s="145" t="n"/>
      <c r="E25" s="145" t="n"/>
      <c r="F25" s="145" t="n"/>
      <c r="G25" s="145" t="n"/>
      <c r="H25" s="145" t="n"/>
      <c r="I25" s="145" t="n"/>
      <c r="J25" s="146" t="n"/>
      <c r="N25" s="127" t="n"/>
      <c r="O25" s="127" t="n"/>
      <c r="P25" s="127" t="n"/>
      <c r="Q25" s="127" t="n"/>
      <c r="R25" s="127" t="n"/>
      <c r="S25" s="127" t="n"/>
      <c r="T25" s="9" t="n"/>
      <c r="U25" s="9" t="n"/>
      <c r="V25" s="9" t="n"/>
      <c r="W25" s="9" t="n"/>
      <c r="X25" s="9" t="n"/>
      <c r="Y25" s="9" t="n"/>
      <c r="Z25" s="9" t="n"/>
      <c r="AA25" s="127" t="n"/>
      <c r="AB25" s="127" t="n"/>
      <c r="AC25" s="127" t="n"/>
    </row>
    <row r="26" ht="18" customHeight="1" s="169" thickBo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N26" s="14" t="n"/>
      <c r="O26" s="15" t="n"/>
      <c r="P26" s="126" t="n"/>
      <c r="T26" s="13" t="n"/>
      <c r="U26" s="10" t="n"/>
      <c r="V26" s="10" t="n"/>
      <c r="W26" s="13" t="n"/>
      <c r="X26" s="13" t="n"/>
      <c r="Y26" s="10" t="n"/>
      <c r="Z26" s="10" t="n"/>
      <c r="AA26" s="127" t="n"/>
      <c r="AB26" s="127" t="n"/>
      <c r="AC26" s="127" t="n"/>
    </row>
    <row r="27">
      <c r="A27" s="162" t="inlineStr">
        <is>
          <t>경매현황</t>
        </is>
      </c>
      <c r="B27" s="163" t="n"/>
      <c r="C27" s="163" t="n"/>
      <c r="D27" s="163" t="n"/>
      <c r="E27" s="163" t="n"/>
      <c r="F27" s="163" t="n"/>
      <c r="G27" s="163" t="n"/>
      <c r="H27" s="163" t="n"/>
      <c r="I27" s="163" t="n"/>
      <c r="J27" s="164" t="n"/>
      <c r="N27" s="14" t="n"/>
      <c r="O27" s="15" t="n"/>
      <c r="P27" s="126" t="n"/>
      <c r="T27" s="9" t="n"/>
      <c r="U27" s="11" t="n"/>
      <c r="V27" s="12" t="n"/>
      <c r="W27" s="9" t="n"/>
      <c r="X27" s="9" t="n"/>
      <c r="Y27" s="9" t="n"/>
      <c r="Z27" s="9" t="n"/>
      <c r="AA27" s="127" t="n"/>
      <c r="AB27" s="127" t="n"/>
      <c r="AC27" s="127" t="n"/>
    </row>
    <row r="28">
      <c r="A28" s="124" t="inlineStr">
        <is>
          <t>관할</t>
        </is>
      </c>
      <c r="B28" s="108" t="n"/>
      <c r="C28" s="107" t="inlineStr">
        <is>
          <t>사건번호</t>
        </is>
      </c>
      <c r="D28" s="108" t="n"/>
      <c r="E28" s="107" t="inlineStr">
        <is>
          <t>개시결정일자</t>
        </is>
      </c>
      <c r="F28" s="108" t="n"/>
      <c r="G28" s="107" t="inlineStr">
        <is>
          <t>배당요구종기일</t>
        </is>
      </c>
      <c r="H28" s="108" t="n"/>
      <c r="I28" s="113" t="inlineStr">
        <is>
          <t>신청권자</t>
        </is>
      </c>
      <c r="J28" s="115" t="n"/>
      <c r="N28" s="14" t="n"/>
      <c r="O28" s="15" t="n"/>
      <c r="P28" s="255" t="n"/>
      <c r="R28" s="17" t="n"/>
      <c r="T28" s="9" t="n"/>
      <c r="U28" s="11" t="n"/>
      <c r="V28" s="12" t="n"/>
      <c r="W28" s="9" t="n"/>
      <c r="X28" s="9" t="n"/>
      <c r="Y28" s="9" t="n"/>
      <c r="Z28" s="9" t="n"/>
      <c r="AA28" s="127" t="n"/>
      <c r="AB28" s="127" t="n"/>
      <c r="AC28" s="127" t="n"/>
    </row>
    <row r="29">
      <c r="A29" s="177" t="inlineStr">
        <is>
          <t>온비드공매</t>
        </is>
      </c>
      <c r="B29" s="112" t="n"/>
      <c r="C29" s="128" t="n"/>
      <c r="D29" s="112" t="n"/>
      <c r="E29" s="156" t="n"/>
      <c r="F29" s="157" t="n"/>
      <c r="G29" s="156" t="n"/>
      <c r="H29" s="157" t="n"/>
      <c r="I29" s="256" t="n"/>
      <c r="J29" s="176" t="n"/>
      <c r="N29" s="14" t="n"/>
      <c r="O29" s="15" t="n"/>
      <c r="P29" s="255" t="n"/>
      <c r="R29" s="17" t="n"/>
      <c r="T29" s="9" t="n"/>
      <c r="U29" s="11" t="n"/>
      <c r="V29" s="12" t="n"/>
      <c r="W29" s="9" t="n"/>
      <c r="X29" s="9" t="n"/>
      <c r="Y29" s="9" t="n"/>
      <c r="Z29" s="9" t="n"/>
      <c r="AA29" s="127" t="n"/>
      <c r="AB29" s="127" t="n"/>
      <c r="AC29" s="127" t="n"/>
    </row>
    <row r="30">
      <c r="A30" s="177" t="inlineStr">
        <is>
          <t>회차</t>
        </is>
      </c>
      <c r="B30" s="128" t="inlineStr">
        <is>
          <t>매각기일</t>
        </is>
      </c>
      <c r="C30" s="128" t="inlineStr">
        <is>
          <t>최저매각가격</t>
        </is>
      </c>
      <c r="D30" s="112" t="n"/>
      <c r="E30" s="128" t="inlineStr">
        <is>
          <t>감정가대비</t>
        </is>
      </c>
      <c r="F30" s="112" t="n"/>
      <c r="G30" s="128" t="inlineStr">
        <is>
          <t>저감율(10)</t>
        </is>
      </c>
      <c r="H30" s="128" t="inlineStr">
        <is>
          <t>토지(평)</t>
        </is>
      </c>
      <c r="I30" s="128" t="inlineStr">
        <is>
          <t>건물(평)</t>
        </is>
      </c>
      <c r="J30" s="60" t="inlineStr">
        <is>
          <t>낙찰가격(%)</t>
        </is>
      </c>
      <c r="K30" s="6" t="n"/>
      <c r="N30" s="127" t="n"/>
      <c r="O30" s="127" t="n"/>
      <c r="P30" s="127" t="n"/>
      <c r="Q30" s="12" t="n"/>
      <c r="R30" s="3" t="n"/>
      <c r="S30" s="254" t="n"/>
      <c r="T30" s="254" t="n"/>
      <c r="U30" s="11" t="n"/>
      <c r="V30" s="12" t="n"/>
      <c r="W30" s="254" t="n"/>
      <c r="X30" s="254" t="n"/>
      <c r="Y30" s="2" t="n"/>
      <c r="Z30" s="9" t="n"/>
      <c r="AA30" s="127" t="n"/>
      <c r="AB30" s="127" t="n"/>
      <c r="AC30" s="127" t="n"/>
    </row>
    <row r="31">
      <c r="A31" s="55" t="inlineStr">
        <is>
          <t>1차</t>
        </is>
      </c>
      <c r="B31" s="61" t="inlineStr">
        <is>
          <t>26.06.22(월)</t>
        </is>
      </c>
      <c r="C31" s="111" t="n">
        <v>31361700000</v>
      </c>
      <c r="D31" s="112" t="n"/>
      <c r="E31" s="160">
        <f>IFERROR(TEXT(C31/$D$17,"0%"),"")</f>
        <v/>
      </c>
      <c r="F31" s="112" t="n"/>
      <c r="G31" s="62">
        <f>"-"</f>
        <v/>
      </c>
      <c r="H31" s="111">
        <f>ROUND(IFERROR(C31*$F$15/$C$15,0),0)</f>
        <v/>
      </c>
      <c r="I31" s="111">
        <f>ROUND(IFERROR(C31*$F$16/$C$16,0),0)</f>
        <v/>
      </c>
      <c r="J31" s="63" t="n"/>
      <c r="K31" s="127" t="n"/>
      <c r="N31" s="127" t="n"/>
      <c r="O31" s="127" t="n"/>
      <c r="P31" s="127" t="n"/>
      <c r="Q31" s="12" t="n"/>
      <c r="R31" s="3" t="n"/>
      <c r="S31" s="254" t="n"/>
      <c r="T31" s="254" t="n"/>
      <c r="U31" s="11" t="n"/>
      <c r="V31" s="12" t="n"/>
      <c r="W31" s="254" t="n"/>
      <c r="X31" s="254" t="n"/>
      <c r="Y31" s="2" t="n"/>
      <c r="Z31" s="9" t="n"/>
      <c r="AA31" s="127" t="n"/>
      <c r="AB31" s="127" t="n"/>
      <c r="AC31" s="127" t="n"/>
    </row>
    <row r="32">
      <c r="A32" s="55" t="inlineStr">
        <is>
          <t>2차</t>
        </is>
      </c>
      <c r="B32" s="61" t="inlineStr">
        <is>
          <t>26.06.29(월)</t>
        </is>
      </c>
      <c r="C32" s="111" t="n">
        <v>28225500000</v>
      </c>
      <c r="D32" s="112" t="n"/>
      <c r="E32" s="160">
        <f>IFERROR(TEXT(C32/$D$17,"0%"),"")</f>
        <v/>
      </c>
      <c r="F32" s="112" t="n"/>
      <c r="G32" s="160">
        <f>IFERROR("-"&amp;MID($G$30,FIND("(",$G$30)+1,FIND(")",$G$30)-FIND("(",$G$30)-1)&amp;"%","")</f>
        <v/>
      </c>
      <c r="H32" s="111">
        <f>ROUND(IFERROR(C32*$F$15/$C$15,0),0)</f>
        <v/>
      </c>
      <c r="I32" s="111">
        <f>ROUND(IFERROR(C32*$F$16/$C$16,0),0)</f>
        <v/>
      </c>
      <c r="J32" s="63" t="n"/>
      <c r="K32" s="127" t="n"/>
      <c r="P32" s="127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127" t="n"/>
      <c r="AB32" s="127" t="n"/>
      <c r="AC32" s="127" t="n"/>
    </row>
    <row r="33" ht="17.25" customHeight="1" s="169" thickBot="1">
      <c r="A33" s="89" t="inlineStr">
        <is>
          <t>3차</t>
        </is>
      </c>
      <c r="B33" s="90" t="inlineStr">
        <is>
          <t>26.07.06(월)</t>
        </is>
      </c>
      <c r="C33" s="121" t="n">
        <v>25402900000</v>
      </c>
      <c r="D33" s="112" t="n"/>
      <c r="E33" s="117">
        <f>IFERROR(TEXT(C33/$D$17,"0%"),"")</f>
        <v/>
      </c>
      <c r="F33" s="112" t="n"/>
      <c r="G33" s="117">
        <f>IFERROR("-"&amp;MID($G$30,FIND("(",$G$30)+1,FIND(")",$G$30)-FIND("(",$G$30)-1)&amp;"%","")</f>
        <v/>
      </c>
      <c r="H33" s="121">
        <f>ROUND(IFERROR(C33*$F$15/$C$15,0),0)</f>
        <v/>
      </c>
      <c r="I33" s="121">
        <f>ROUND(IFERROR(C33*$F$16/$C$16,0),0)</f>
        <v/>
      </c>
      <c r="J33" s="93" t="n"/>
    </row>
    <row r="34">
      <c r="A34" s="89" t="inlineStr">
        <is>
          <t>4차</t>
        </is>
      </c>
      <c r="B34" s="90" t="inlineStr">
        <is>
          <t>26.07.13(월)</t>
        </is>
      </c>
      <c r="C34" s="121" t="n">
        <v>22862600000</v>
      </c>
      <c r="D34" s="112" t="n"/>
      <c r="E34" s="117">
        <f>IFERROR(TEXT(C34/$D$17,"0%"),"")</f>
        <v/>
      </c>
      <c r="F34" s="112" t="n"/>
      <c r="G34" s="117">
        <f>IFERROR("-"&amp;MID($G$30,FIND("(",$G$30)+1,FIND(")",$G$30)-FIND("(",$G$30)-1)&amp;"%","")</f>
        <v/>
      </c>
      <c r="H34" s="121">
        <f>ROUND(IFERROR(C34*$F$15/$C$15,0),0)</f>
        <v/>
      </c>
      <c r="I34" s="121">
        <f>ROUND(IFERROR(C34*$F$16/$C$16,0),0)</f>
        <v/>
      </c>
      <c r="J34" s="93" t="n"/>
    </row>
    <row r="35">
      <c r="A35" s="89" t="inlineStr">
        <is>
          <t>5차</t>
        </is>
      </c>
      <c r="B35" s="90" t="inlineStr">
        <is>
          <t>26.07.20(월)</t>
        </is>
      </c>
      <c r="C35" s="121" t="n">
        <v>20576300000</v>
      </c>
      <c r="D35" s="112" t="n"/>
      <c r="E35" s="117">
        <f>IFERROR(TEXT(C35/$D$17,"0%"),"")</f>
        <v/>
      </c>
      <c r="F35" s="112" t="n"/>
      <c r="G35" s="117">
        <f>IFERROR("-"&amp;MID($G$30,FIND("(",$G$30)+1,FIND(")",$G$30)-FIND("(",$G$30)-1)&amp;"%","")</f>
        <v/>
      </c>
      <c r="H35" s="121">
        <f>ROUND(IFERROR(C35*$F$15/$C$15,0),0)</f>
        <v/>
      </c>
      <c r="I35" s="121">
        <f>ROUND(IFERROR(C35*$F$16/$C$16,0),0)</f>
        <v/>
      </c>
      <c r="J35" s="93" t="n"/>
    </row>
    <row r="36">
      <c r="A36" s="89" t="inlineStr">
        <is>
          <t>6차</t>
        </is>
      </c>
      <c r="B36" s="90" t="inlineStr">
        <is>
          <t>26.07.22(수)</t>
        </is>
      </c>
      <c r="C36" s="121" t="n">
        <v>18518600000</v>
      </c>
      <c r="D36" s="112" t="n"/>
      <c r="E36" s="117">
        <f>IFERROR(TEXT(C36/$D$17,"0%"),"")</f>
        <v/>
      </c>
      <c r="F36" s="112" t="n"/>
      <c r="G36" s="117">
        <f>IFERROR("-"&amp;MID($G$30,FIND("(",$G$30)+1,FIND(")",$G$30)-FIND("(",$G$30)-1)&amp;"%","")</f>
        <v/>
      </c>
      <c r="H36" s="121">
        <f>ROUND(IFERROR(C36*$F$15/$C$15,0),0)</f>
        <v/>
      </c>
      <c r="I36" s="121">
        <f>ROUND(IFERROR(C36*$F$16/$C$16,0),0)</f>
        <v/>
      </c>
      <c r="J36" s="93" t="n"/>
    </row>
    <row r="37">
      <c r="A37" s="89" t="inlineStr">
        <is>
          <t>7차</t>
        </is>
      </c>
      <c r="B37" s="90" t="inlineStr">
        <is>
          <t>26.07.27(월)</t>
        </is>
      </c>
      <c r="C37" s="121" t="n">
        <v>16666700000</v>
      </c>
      <c r="D37" s="112" t="n"/>
      <c r="E37" s="117">
        <f>IFERROR(TEXT(C37/$D$17,"0%"),"")</f>
        <v/>
      </c>
      <c r="F37" s="112" t="n"/>
      <c r="G37" s="117">
        <f>IFERROR("-"&amp;MID($G$30,FIND("(",$G$30)+1,FIND(")",$G$30)-FIND("(",$G$30)-1)&amp;"%","")</f>
        <v/>
      </c>
      <c r="H37" s="121">
        <f>ROUND(IFERROR(C37*$F$15/$C$15,0),0)</f>
        <v/>
      </c>
      <c r="I37" s="121">
        <f>ROUND(IFERROR(C37*$F$16/$C$16,0),0)</f>
        <v/>
      </c>
      <c r="J37" s="93" t="n"/>
    </row>
    <row r="38" ht="17.25" customHeight="1" s="169" thickBot="1">
      <c r="A38" s="89" t="inlineStr">
        <is>
          <t>8차</t>
        </is>
      </c>
      <c r="B38" s="90" t="inlineStr">
        <is>
          <t>26.07.29(수)</t>
        </is>
      </c>
      <c r="C38" s="121" t="n">
        <v>15000000000</v>
      </c>
      <c r="D38" s="112" t="n"/>
      <c r="E38" s="117">
        <f>IFERROR(TEXT(C38/$D$17,"0%"),"")</f>
        <v/>
      </c>
      <c r="F38" s="112" t="n"/>
      <c r="G38" s="117">
        <f>IFERROR("-"&amp;MID($G$30,FIND("(",$G$30)+1,FIND(")",$G$30)-FIND("(",$G$30)-1)&amp;"%","")</f>
        <v/>
      </c>
      <c r="H38" s="121">
        <f>ROUND(IFERROR(C38*$F$15/$C$15,0),0)</f>
        <v/>
      </c>
      <c r="I38" s="121">
        <f>ROUND(IFERROR(C38*$F$16/$C$16,0),0)</f>
        <v/>
      </c>
      <c r="J38" s="93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73" t="n"/>
      <c r="P39" s="127" t="n"/>
      <c r="Q39" s="127" t="n"/>
      <c r="R39" s="127" t="n"/>
      <c r="S39" s="127" t="n"/>
      <c r="T39" s="127" t="n"/>
      <c r="U39" s="127" t="n"/>
      <c r="V39" s="127" t="n"/>
      <c r="W39" s="127" t="n"/>
      <c r="X39" s="127" t="n"/>
      <c r="Y39" s="127" t="n"/>
      <c r="Z39" s="127" t="n"/>
      <c r="AA39" s="127" t="n"/>
      <c r="AB39" s="127" t="n"/>
      <c r="AC39" s="127" t="n"/>
    </row>
    <row r="40">
      <c r="A40" s="133" t="inlineStr">
        <is>
          <t>종합의견</t>
        </is>
      </c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34" t="n"/>
      <c r="P40" s="127" t="n"/>
      <c r="Q40" s="127" t="n"/>
      <c r="R40" s="127" t="n"/>
      <c r="S40" s="127" t="n"/>
      <c r="T40" s="127" t="n"/>
      <c r="U40" s="127" t="n"/>
      <c r="V40" s="127" t="n"/>
      <c r="W40" s="127" t="n"/>
      <c r="X40" s="127" t="n"/>
      <c r="Y40" s="127" t="n"/>
      <c r="Z40" s="127" t="n"/>
      <c r="AA40" s="127" t="n"/>
      <c r="AB40" s="127" t="n"/>
      <c r="AC40" s="127" t="n"/>
    </row>
    <row r="41">
      <c r="A41" s="166" t="inlineStr">
        <is>
          <t>· 감정평가액 282.48억원(경일감정, 기준시점 26.03.17 / 토지 225.98억 : 건물 56.50억 = 80:20). 공매 1차 최저가 313.62억(감정가 대비 111%) → 8차 150.0억(53%)까지 회차별 약 10% 저감, 최저입찰가격은 부가세 별도(건물분 20%의 10% 추가 부담).
· 노형동 710 일반상업지역, 연북로변, 2005.02.23 사용승인 지하2/지상6층 1개동 35개호 일괄매각. 1층(101호) 12,300백만원으로 전체의 약 44% 차지.
· 인근 실거래 평당가는 1층 코너 3,000~6,000만원/상층 500~1,200만원 수준으로 층·위치별 편차가 크고, 제주시 상업용 경매 낙찰가율은 12~83%(평균 약 48%, 응찰 대부분 1명)로 유동성이 낮음.
· 등기부·신탁원부·임대차·미납관리비 자료 미제공 상태이므로 권리 인수 및 명도 리스크는 입찰 전 확정 확인 필요.</t>
        </is>
      </c>
      <c r="B41" s="167" t="n"/>
      <c r="C41" s="167" t="n"/>
      <c r="D41" s="167" t="n"/>
      <c r="E41" s="167" t="n"/>
      <c r="F41" s="167" t="n"/>
      <c r="G41" s="167" t="n"/>
      <c r="H41" s="167" t="n"/>
      <c r="I41" s="167" t="n"/>
      <c r="J41" s="129" t="n"/>
    </row>
    <row r="42">
      <c r="A42" s="168" t="n"/>
      <c r="J42" s="154" t="n"/>
    </row>
    <row r="43">
      <c r="A43" s="168" t="n"/>
      <c r="J43" s="154" t="n"/>
    </row>
    <row r="44">
      <c r="A44" s="170" t="n"/>
      <c r="B44" s="171" t="n"/>
      <c r="C44" s="171" t="n"/>
      <c r="D44" s="171" t="n"/>
      <c r="E44" s="171" t="n"/>
      <c r="F44" s="171" t="n"/>
      <c r="G44" s="171" t="n"/>
      <c r="H44" s="171" t="n"/>
      <c r="I44" s="171" t="n"/>
      <c r="J44" s="172" t="n"/>
    </row>
  </sheetData>
  <mergeCells count="84">
    <mergeCell ref="D20:E20"/>
    <mergeCell ref="A7:B7"/>
    <mergeCell ref="I16:J16"/>
    <mergeCell ref="H3:J3"/>
    <mergeCell ref="E34:F34"/>
    <mergeCell ref="B13:C13"/>
    <mergeCell ref="F13:F14"/>
    <mergeCell ref="A6:J6"/>
    <mergeCell ref="C36:D36"/>
    <mergeCell ref="E36:F36"/>
    <mergeCell ref="I20:J20"/>
    <mergeCell ref="D24:E24"/>
    <mergeCell ref="A19:B19"/>
    <mergeCell ref="A28:B28"/>
    <mergeCell ref="C28:D28"/>
    <mergeCell ref="A9:B9"/>
    <mergeCell ref="P26:Q26"/>
    <mergeCell ref="C30:D30"/>
    <mergeCell ref="I15:J15"/>
    <mergeCell ref="I13:J14"/>
    <mergeCell ref="E38:F38"/>
    <mergeCell ref="G7:H7"/>
    <mergeCell ref="A40:J40"/>
    <mergeCell ref="I7:J7"/>
    <mergeCell ref="F20:G20"/>
    <mergeCell ref="I8:J10"/>
    <mergeCell ref="P28:Q28"/>
    <mergeCell ref="A8:B8"/>
    <mergeCell ref="I17:J17"/>
    <mergeCell ref="A25:J25"/>
    <mergeCell ref="C8:D8"/>
    <mergeCell ref="B3:G3"/>
    <mergeCell ref="D15:E15"/>
    <mergeCell ref="G16:H16"/>
    <mergeCell ref="A10:B10"/>
    <mergeCell ref="H4:J4"/>
    <mergeCell ref="D13:E14"/>
    <mergeCell ref="C34:D34"/>
    <mergeCell ref="E8:F10"/>
    <mergeCell ref="C29:D29"/>
    <mergeCell ref="E29:F29"/>
    <mergeCell ref="P27:Q27"/>
    <mergeCell ref="C31:D31"/>
    <mergeCell ref="D17:E17"/>
    <mergeCell ref="E31:F31"/>
    <mergeCell ref="A12:B12"/>
    <mergeCell ref="A13:A14"/>
    <mergeCell ref="G15:H15"/>
    <mergeCell ref="A23:B23"/>
    <mergeCell ref="G13:H14"/>
    <mergeCell ref="C32:D32"/>
    <mergeCell ref="C7:D7"/>
    <mergeCell ref="C38:D38"/>
    <mergeCell ref="E32:F32"/>
    <mergeCell ref="E7:F7"/>
    <mergeCell ref="A27:J27"/>
    <mergeCell ref="A24:B24"/>
    <mergeCell ref="P29:Q29"/>
    <mergeCell ref="C33:D33"/>
    <mergeCell ref="G8:H10"/>
    <mergeCell ref="E33:F33"/>
    <mergeCell ref="G17:H17"/>
    <mergeCell ref="C35:D35"/>
    <mergeCell ref="E35:F35"/>
    <mergeCell ref="F24:G24"/>
    <mergeCell ref="C10:D10"/>
    <mergeCell ref="E28:F28"/>
    <mergeCell ref="G28:H28"/>
    <mergeCell ref="A41:J44"/>
    <mergeCell ref="I28:J28"/>
    <mergeCell ref="C9:D9"/>
    <mergeCell ref="A1:J1"/>
    <mergeCell ref="D16:E16"/>
    <mergeCell ref="A2:B2"/>
    <mergeCell ref="E30:F30"/>
    <mergeCell ref="B4:G4"/>
    <mergeCell ref="G29:H29"/>
    <mergeCell ref="A20:B20"/>
    <mergeCell ref="I29:J29"/>
    <mergeCell ref="A29:B29"/>
    <mergeCell ref="H24:I24"/>
    <mergeCell ref="A21:J21"/>
    <mergeCell ref="C37:D37"/>
    <mergeCell ref="E37:F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6"/>
  <sheetViews>
    <sheetView topLeftCell="A16" zoomScale="130" zoomScaleNormal="130" workbookViewId="0">
      <selection activeCell="O35" sqref="O35"/>
    </sheetView>
  </sheetViews>
  <sheetFormatPr baseColWidth="8" defaultColWidth="8.75" defaultRowHeight="16.5"/>
  <cols>
    <col width="11" customWidth="1" style="169" min="1" max="1"/>
    <col width="12" customWidth="1" style="169" min="2" max="3"/>
    <col width="17" customWidth="1" style="169" min="4" max="4"/>
    <col width="5.75" customWidth="1" style="169" min="5" max="5"/>
    <col width="10" customWidth="1" style="169" min="6" max="6"/>
    <col width="12" customWidth="1" style="169" min="7" max="8"/>
    <col width="13" customWidth="1" style="169" min="9" max="9"/>
    <col width="16" customWidth="1" style="169" min="10" max="10"/>
    <col width="8.75" customWidth="1" style="127" min="11" max="11"/>
    <col width="8.75" customWidth="1" style="127" min="12" max="16384"/>
  </cols>
  <sheetData>
    <row r="1" ht="16.9" customHeight="1" s="169" thickBot="1">
      <c r="A1" s="185" t="inlineStr">
        <is>
          <t>감정가정보(호실별)</t>
        </is>
      </c>
      <c r="B1" s="157" t="n"/>
      <c r="C1" s="64" t="n"/>
      <c r="D1" s="64" t="n"/>
      <c r="E1" s="64" t="n"/>
      <c r="F1" s="64" t="n"/>
      <c r="G1" s="64" t="n"/>
      <c r="H1" s="64" t="n"/>
      <c r="I1" s="64" t="n"/>
      <c r="J1" s="64" t="inlineStr">
        <is>
          <t>(단위 : 원)</t>
        </is>
      </c>
    </row>
    <row r="2" ht="16.9" customHeight="1" s="169">
      <c r="A2" s="186" t="inlineStr">
        <is>
          <t>101호</t>
        </is>
      </c>
      <c r="B2" s="180" t="inlineStr">
        <is>
          <t>면적</t>
        </is>
      </c>
      <c r="C2" s="123" t="n"/>
      <c r="D2" s="180" t="inlineStr">
        <is>
          <t>감정가(법사가)</t>
        </is>
      </c>
      <c r="E2" s="181" t="n"/>
      <c r="F2" s="180" t="inlineStr">
        <is>
          <t>비율</t>
        </is>
      </c>
      <c r="G2" s="180" t="inlineStr">
        <is>
          <t>㎡당금액</t>
        </is>
      </c>
      <c r="H2" s="181" t="n"/>
      <c r="I2" s="182" t="inlineStr">
        <is>
          <t>평당금액</t>
        </is>
      </c>
      <c r="J2" s="183" t="n"/>
    </row>
    <row r="3" ht="16.9" customHeight="1" s="169">
      <c r="A3" s="161" t="n"/>
      <c r="B3" s="128" t="inlineStr">
        <is>
          <t>(㎡)</t>
        </is>
      </c>
      <c r="C3" s="128" t="inlineStr">
        <is>
          <t>(평)</t>
        </is>
      </c>
      <c r="D3" s="130" t="n"/>
      <c r="E3" s="152" t="n"/>
      <c r="F3" s="116" t="n"/>
      <c r="G3" s="130" t="n"/>
      <c r="H3" s="152" t="n"/>
      <c r="I3" s="130" t="n"/>
      <c r="J3" s="131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</row>
    <row r="4" ht="16.9" customHeight="1" s="169">
      <c r="A4" s="55" t="inlineStr">
        <is>
          <t>토지</t>
        </is>
      </c>
      <c r="B4" s="56" t="n">
        <v>210.5651</v>
      </c>
      <c r="C4" s="56">
        <f>B4*0.3025</f>
        <v/>
      </c>
      <c r="D4" s="111" t="n">
        <v>9840000000</v>
      </c>
      <c r="E4" s="112" t="n"/>
      <c r="F4" s="251">
        <f>IFERROR(D4/$D$6,0)</f>
        <v/>
      </c>
      <c r="G4" s="111">
        <f>D4/B4</f>
        <v/>
      </c>
      <c r="H4" s="112" t="n"/>
      <c r="I4" s="111">
        <f>D4/C4</f>
        <v/>
      </c>
      <c r="J4" s="112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</row>
    <row r="5" ht="16.9" customHeight="1" s="169">
      <c r="A5" s="55" t="inlineStr">
        <is>
          <t>건물</t>
        </is>
      </c>
      <c r="B5" s="56" t="n">
        <v>711.49</v>
      </c>
      <c r="C5" s="56">
        <f>B5*0.3025</f>
        <v/>
      </c>
      <c r="D5" s="111" t="n">
        <v>2460000000</v>
      </c>
      <c r="E5" s="112" t="n"/>
      <c r="F5" s="251">
        <f>IFERROR(D5/$D$6,0)</f>
        <v/>
      </c>
      <c r="G5" s="111">
        <f>D5/B5</f>
        <v/>
      </c>
      <c r="H5" s="112" t="n"/>
      <c r="I5" s="111">
        <f>D5/C5</f>
        <v/>
      </c>
      <c r="J5" s="112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</row>
    <row r="6" ht="16.9" customHeight="1" s="169" thickBot="1">
      <c r="A6" s="57" t="inlineStr">
        <is>
          <t>합계</t>
        </is>
      </c>
      <c r="B6" s="58">
        <f>SUM(B4:B5)</f>
        <v/>
      </c>
      <c r="C6" s="58">
        <f>SUM(C4:C5)</f>
        <v/>
      </c>
      <c r="D6" s="158">
        <f>SUM(D4:E5)</f>
        <v/>
      </c>
      <c r="E6" s="159" t="n"/>
      <c r="F6" s="252">
        <f>SUM(F4:F5)</f>
        <v/>
      </c>
      <c r="G6" s="158">
        <f>D6/B6</f>
        <v/>
      </c>
      <c r="H6" s="159" t="n"/>
      <c r="I6" s="142">
        <f>D6/C6</f>
        <v/>
      </c>
      <c r="J6" s="143" t="n"/>
      <c r="M6" s="18" t="n"/>
      <c r="N6" s="19" t="n"/>
      <c r="O6" s="19" t="n"/>
      <c r="P6" s="75" t="n"/>
      <c r="Q6" s="19" t="n"/>
      <c r="R6" s="75" t="n"/>
      <c r="S6" s="19" t="n"/>
      <c r="T6" s="19" t="n"/>
      <c r="U6" s="75" t="n"/>
      <c r="V6" s="19" t="n"/>
      <c r="W6" s="75" t="n"/>
      <c r="X6" s="18" t="n"/>
      <c r="Y6" s="18" t="n"/>
      <c r="Z6" s="18" t="n"/>
    </row>
    <row r="7" ht="16.9" customHeight="1" s="169">
      <c r="A7" s="186" t="inlineStr">
        <is>
          <t>201호</t>
        </is>
      </c>
      <c r="B7" s="180" t="inlineStr">
        <is>
          <t>면적</t>
        </is>
      </c>
      <c r="C7" s="123" t="n"/>
      <c r="D7" s="180" t="inlineStr">
        <is>
          <t>감정가(법사가)</t>
        </is>
      </c>
      <c r="E7" s="181" t="n"/>
      <c r="F7" s="180" t="inlineStr">
        <is>
          <t>비율</t>
        </is>
      </c>
      <c r="G7" s="180" t="inlineStr">
        <is>
          <t>㎡당금액</t>
        </is>
      </c>
      <c r="H7" s="181" t="n"/>
      <c r="I7" s="182" t="inlineStr">
        <is>
          <t>평당금액</t>
        </is>
      </c>
      <c r="J7" s="183" t="n"/>
      <c r="M7" s="18" t="n"/>
      <c r="N7" s="75" t="n"/>
      <c r="O7" s="20" t="n"/>
      <c r="P7" s="20" t="n"/>
      <c r="Q7" s="75" t="n"/>
      <c r="R7" s="75" t="n"/>
      <c r="S7" s="75" t="n"/>
      <c r="T7" s="75" t="n"/>
      <c r="U7" s="75" t="n"/>
      <c r="V7" s="75" t="n"/>
      <c r="W7" s="75" t="n"/>
      <c r="X7" s="25" t="n"/>
      <c r="Y7" s="257" t="n"/>
      <c r="Z7" s="257" t="n"/>
    </row>
    <row r="8" ht="16.9" customHeight="1" s="169">
      <c r="A8" s="161" t="n"/>
      <c r="B8" s="128" t="inlineStr">
        <is>
          <t>(㎡)</t>
        </is>
      </c>
      <c r="C8" s="128" t="inlineStr">
        <is>
          <t>(평)</t>
        </is>
      </c>
      <c r="D8" s="130" t="n"/>
      <c r="E8" s="152" t="n"/>
      <c r="F8" s="116" t="n"/>
      <c r="G8" s="130" t="n"/>
      <c r="H8" s="152" t="n"/>
      <c r="I8" s="130" t="n"/>
      <c r="J8" s="131" t="n"/>
      <c r="M8" s="18" t="n"/>
      <c r="N8" s="21" t="n"/>
      <c r="O8" s="22" t="n"/>
      <c r="P8" s="22" t="n"/>
      <c r="Q8" s="23" t="n"/>
      <c r="R8" s="75" t="n"/>
      <c r="S8" s="258" t="n"/>
      <c r="T8" s="23" t="n"/>
      <c r="U8" s="75" t="n"/>
      <c r="V8" s="23" t="n"/>
      <c r="W8" s="75" t="n"/>
      <c r="X8" s="24" t="n"/>
      <c r="Y8" s="24" t="n"/>
      <c r="Z8" s="24" t="n"/>
    </row>
    <row r="9" ht="16.9" customHeight="1" s="169">
      <c r="A9" s="55" t="inlineStr">
        <is>
          <t>토지</t>
        </is>
      </c>
      <c r="B9" s="56" t="n">
        <v>110.7354</v>
      </c>
      <c r="C9" s="56">
        <f>B9*0.3025</f>
        <v/>
      </c>
      <c r="D9" s="111" t="n">
        <v>1400000000</v>
      </c>
      <c r="E9" s="112" t="n"/>
      <c r="F9" s="251">
        <f>IFERROR(D9/$D$11,0)</f>
        <v/>
      </c>
      <c r="G9" s="111">
        <f>D9/B9</f>
        <v/>
      </c>
      <c r="H9" s="112" t="n"/>
      <c r="I9" s="111">
        <f>D9/C9</f>
        <v/>
      </c>
      <c r="J9" s="112" t="n"/>
      <c r="M9" s="18" t="n"/>
      <c r="N9" s="21" t="n"/>
      <c r="O9" s="22" t="n"/>
      <c r="P9" s="22" t="n"/>
      <c r="Q9" s="23" t="n"/>
      <c r="R9" s="75" t="n"/>
      <c r="S9" s="258" t="n"/>
      <c r="T9" s="23" t="n"/>
      <c r="U9" s="75" t="n"/>
      <c r="V9" s="23" t="n"/>
      <c r="W9" s="75" t="n"/>
      <c r="X9" s="25" t="n"/>
      <c r="Y9" s="25" t="n"/>
      <c r="Z9" s="25" t="n"/>
    </row>
    <row r="10" ht="16.9" customHeight="1" s="169">
      <c r="A10" s="55" t="inlineStr">
        <is>
          <t>건물</t>
        </is>
      </c>
      <c r="B10" s="56" t="n">
        <v>298.15</v>
      </c>
      <c r="C10" s="56">
        <f>B10*0.3025</f>
        <v/>
      </c>
      <c r="D10" s="111" t="n">
        <v>350000000</v>
      </c>
      <c r="E10" s="112" t="n"/>
      <c r="F10" s="251">
        <f>IFERROR(D10/$D$11,0)</f>
        <v/>
      </c>
      <c r="G10" s="111">
        <f>D10/B10</f>
        <v/>
      </c>
      <c r="H10" s="112" t="n"/>
      <c r="I10" s="111">
        <f>D10/C10</f>
        <v/>
      </c>
      <c r="J10" s="112" t="n"/>
      <c r="M10" s="18" t="n"/>
      <c r="N10" s="20" t="n"/>
      <c r="O10" s="26" t="n"/>
      <c r="P10" s="26" t="n"/>
      <c r="Q10" s="27" t="n"/>
      <c r="R10" s="75" t="n"/>
      <c r="S10" s="259" t="n"/>
      <c r="T10" s="27" t="n"/>
      <c r="U10" s="75" t="n"/>
      <c r="V10" s="27" t="n"/>
      <c r="W10" s="75" t="n"/>
      <c r="X10" s="25" t="n"/>
      <c r="Y10" s="25" t="n"/>
      <c r="Z10" s="25" t="n"/>
    </row>
    <row r="11" ht="16.9" customHeight="1" s="169" thickBot="1">
      <c r="A11" s="57" t="inlineStr">
        <is>
          <t>합계</t>
        </is>
      </c>
      <c r="B11" s="58">
        <f>SUM(B9:B10)</f>
        <v/>
      </c>
      <c r="C11" s="58">
        <f>SUM(C9:C10)</f>
        <v/>
      </c>
      <c r="D11" s="158">
        <f>SUM(D9:E10)</f>
        <v/>
      </c>
      <c r="E11" s="159" t="n"/>
      <c r="F11" s="252">
        <f>SUM(F9:F10)</f>
        <v/>
      </c>
      <c r="G11" s="158">
        <f>D11/B11</f>
        <v/>
      </c>
      <c r="H11" s="159" t="n"/>
      <c r="I11" s="142">
        <f>D11/C11</f>
        <v/>
      </c>
      <c r="J11" s="143" t="n"/>
      <c r="M11" s="18" t="n"/>
      <c r="N11" s="18" t="n"/>
      <c r="O11" s="18" t="n"/>
      <c r="P11" s="18" t="n"/>
      <c r="Q11" s="25" t="n"/>
      <c r="R11" s="25" t="n"/>
      <c r="S11" s="260" t="n"/>
      <c r="T11" s="260" t="n"/>
      <c r="U11" s="28" t="n"/>
      <c r="V11" s="29" t="n"/>
      <c r="W11" s="30" t="n"/>
      <c r="X11" s="25" t="n"/>
      <c r="Y11" s="25" t="n"/>
      <c r="Z11" s="25" t="n"/>
    </row>
    <row r="12" ht="16.9" customHeight="1" s="169">
      <c r="A12" s="186" t="inlineStr">
        <is>
          <t>202호</t>
        </is>
      </c>
      <c r="B12" s="180" t="inlineStr">
        <is>
          <t>면적</t>
        </is>
      </c>
      <c r="C12" s="123" t="n"/>
      <c r="D12" s="180" t="inlineStr">
        <is>
          <t>감정가(법사가)</t>
        </is>
      </c>
      <c r="E12" s="181" t="n"/>
      <c r="F12" s="180" t="inlineStr">
        <is>
          <t>비율</t>
        </is>
      </c>
      <c r="G12" s="180" t="inlineStr">
        <is>
          <t>㎡당금액</t>
        </is>
      </c>
      <c r="H12" s="181" t="n"/>
      <c r="I12" s="182" t="inlineStr">
        <is>
          <t>평당금액</t>
        </is>
      </c>
      <c r="J12" s="183" t="n"/>
      <c r="M12" s="18" t="n"/>
      <c r="N12" s="18" t="n"/>
      <c r="O12" s="18" t="n"/>
      <c r="P12" s="18" t="n"/>
      <c r="Q12" s="25" t="n"/>
      <c r="R12" s="25" t="n"/>
      <c r="S12" s="261" t="n"/>
      <c r="T12" s="261" t="n"/>
      <c r="U12" s="28" t="n"/>
      <c r="V12" s="29" t="n"/>
      <c r="W12" s="31" t="n"/>
      <c r="X12" s="257" t="n"/>
      <c r="Y12" s="32" t="n"/>
      <c r="Z12" s="25" t="n"/>
    </row>
    <row r="13" ht="16.9" customHeight="1" s="169">
      <c r="A13" s="161" t="n"/>
      <c r="B13" s="128" t="inlineStr">
        <is>
          <t>(㎡)</t>
        </is>
      </c>
      <c r="C13" s="128" t="inlineStr">
        <is>
          <t>(평)</t>
        </is>
      </c>
      <c r="D13" s="130" t="n"/>
      <c r="E13" s="152" t="n"/>
      <c r="F13" s="116" t="n"/>
      <c r="G13" s="130" t="n"/>
      <c r="H13" s="152" t="n"/>
      <c r="I13" s="130" t="n"/>
      <c r="J13" s="131" t="n"/>
      <c r="M13" s="18" t="n"/>
      <c r="N13" s="18" t="n"/>
      <c r="O13" s="18" t="n"/>
      <c r="P13" s="18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</row>
    <row r="14" ht="16.9" customHeight="1" s="169">
      <c r="A14" s="55" t="inlineStr">
        <is>
          <t>토지</t>
        </is>
      </c>
      <c r="B14" s="56" t="n">
        <v>88.6901</v>
      </c>
      <c r="C14" s="56">
        <f>B14*0.3025</f>
        <v/>
      </c>
      <c r="D14" s="111" t="n">
        <v>1760000000</v>
      </c>
      <c r="E14" s="112" t="n"/>
      <c r="F14" s="251">
        <f>IFERROR(D14/$D$16,0)</f>
        <v/>
      </c>
      <c r="G14" s="111">
        <f>D14/B14</f>
        <v/>
      </c>
      <c r="H14" s="112" t="n"/>
      <c r="I14" s="111">
        <f>D14/C14</f>
        <v/>
      </c>
      <c r="J14" s="112" t="n"/>
      <c r="M14" s="18" t="n"/>
      <c r="N14" s="18" t="n"/>
      <c r="O14" s="18" t="n"/>
      <c r="P14" s="18" t="n"/>
      <c r="Q14" s="18" t="n"/>
      <c r="R14" s="18" t="n"/>
      <c r="S14" s="18" t="n"/>
      <c r="T14" s="33" t="n"/>
      <c r="U14" s="33" t="n"/>
      <c r="V14" s="33" t="n"/>
      <c r="W14" s="33" t="n"/>
      <c r="X14" s="33" t="n"/>
      <c r="Y14" s="33" t="n"/>
      <c r="Z14" s="33" t="n"/>
    </row>
    <row r="15" ht="16.9" customHeight="1" s="169">
      <c r="A15" s="55" t="inlineStr">
        <is>
          <t>건물</t>
        </is>
      </c>
      <c r="B15" s="56" t="n">
        <v>375.7</v>
      </c>
      <c r="C15" s="56">
        <f>B15*0.3025</f>
        <v/>
      </c>
      <c r="D15" s="111" t="n">
        <v>440000000</v>
      </c>
      <c r="E15" s="112" t="n"/>
      <c r="F15" s="251">
        <f>IFERROR(D15/$D$16,0)</f>
        <v/>
      </c>
      <c r="G15" s="111">
        <f>D15/B15</f>
        <v/>
      </c>
      <c r="H15" s="112" t="n"/>
      <c r="I15" s="111">
        <f>D15/C15</f>
        <v/>
      </c>
      <c r="J15" s="112" t="n"/>
      <c r="M15" s="18" t="n"/>
      <c r="N15" s="18" t="n"/>
      <c r="O15" s="18" t="n"/>
      <c r="P15" s="18" t="n"/>
      <c r="Q15" s="18" t="n"/>
      <c r="R15" s="18" t="n"/>
      <c r="S15" s="18" t="n"/>
      <c r="T15" s="25" t="n"/>
      <c r="U15" s="25" t="n"/>
      <c r="V15" s="25" t="n"/>
      <c r="W15" s="25" t="n"/>
      <c r="X15" s="25" t="n"/>
      <c r="Y15" s="25" t="n"/>
      <c r="Z15" s="25" t="n"/>
    </row>
    <row r="16" ht="16.9" customHeight="1" s="169" thickBot="1">
      <c r="A16" s="57" t="inlineStr">
        <is>
          <t>합계</t>
        </is>
      </c>
      <c r="B16" s="58">
        <f>SUM(B14:B15)</f>
        <v/>
      </c>
      <c r="C16" s="58">
        <f>SUM(C14:C15)</f>
        <v/>
      </c>
      <c r="D16" s="158">
        <f>SUM(D14:E15)</f>
        <v/>
      </c>
      <c r="E16" s="159" t="n"/>
      <c r="F16" s="252">
        <f>SUM(F14:F15)</f>
        <v/>
      </c>
      <c r="G16" s="158">
        <f>D16/B16</f>
        <v/>
      </c>
      <c r="H16" s="159" t="n"/>
      <c r="I16" s="142">
        <f>D16/C16</f>
        <v/>
      </c>
      <c r="J16" s="143" t="n"/>
      <c r="M16" s="18" t="n"/>
      <c r="N16" s="34" t="n"/>
      <c r="O16" s="34" t="n"/>
      <c r="P16" s="35" t="n"/>
      <c r="Q16" s="75" t="n"/>
      <c r="R16" s="34" t="n"/>
      <c r="S16" s="34" t="n"/>
      <c r="T16" s="36" t="n"/>
      <c r="U16" s="36" t="n"/>
      <c r="V16" s="36" t="n"/>
      <c r="W16" s="36" t="n"/>
      <c r="X16" s="36" t="n"/>
      <c r="Y16" s="36" t="n"/>
      <c r="Z16" s="36" t="n"/>
    </row>
    <row r="17" ht="16.9" customHeight="1" s="169">
      <c r="A17" s="186" t="inlineStr">
        <is>
          <t>301호</t>
        </is>
      </c>
      <c r="B17" s="180" t="inlineStr">
        <is>
          <t>면적</t>
        </is>
      </c>
      <c r="C17" s="123" t="n"/>
      <c r="D17" s="180" t="inlineStr">
        <is>
          <t>감정가(법사가)</t>
        </is>
      </c>
      <c r="E17" s="181" t="n"/>
      <c r="F17" s="180" t="inlineStr">
        <is>
          <t>비율</t>
        </is>
      </c>
      <c r="G17" s="180" t="inlineStr">
        <is>
          <t>㎡당금액</t>
        </is>
      </c>
      <c r="H17" s="181" t="n"/>
      <c r="I17" s="182" t="inlineStr">
        <is>
          <t>평당금액</t>
        </is>
      </c>
      <c r="J17" s="183" t="n"/>
      <c r="N17" s="14" t="n"/>
      <c r="O17" s="15" t="n"/>
      <c r="P17" s="75" t="n"/>
      <c r="Q17" s="75" t="n"/>
      <c r="T17" s="9" t="n"/>
      <c r="U17" s="16" t="n"/>
      <c r="V17" s="9" t="n"/>
      <c r="W17" s="16" t="n"/>
      <c r="X17" s="9" t="n"/>
      <c r="Y17" s="254" t="n"/>
      <c r="Z17" s="254" t="n"/>
    </row>
    <row r="18" ht="16.9" customHeight="1" s="169">
      <c r="A18" s="161" t="n"/>
      <c r="B18" s="128" t="inlineStr">
        <is>
          <t>(㎡)</t>
        </is>
      </c>
      <c r="C18" s="128" t="inlineStr">
        <is>
          <t>(평)</t>
        </is>
      </c>
      <c r="D18" s="130" t="n"/>
      <c r="E18" s="152" t="n"/>
      <c r="F18" s="116" t="n"/>
      <c r="G18" s="130" t="n"/>
      <c r="H18" s="152" t="n"/>
      <c r="I18" s="130" t="n"/>
      <c r="J18" s="131" t="n"/>
      <c r="N18" s="14" t="n"/>
      <c r="O18" s="15" t="n"/>
      <c r="P18" s="75" t="n"/>
      <c r="Q18" s="75" t="n"/>
      <c r="T18" s="13" t="n"/>
      <c r="U18" s="10" t="n"/>
      <c r="V18" s="10" t="n"/>
      <c r="W18" s="13" t="n"/>
      <c r="X18" s="13" t="n"/>
      <c r="Y18" s="10" t="n"/>
      <c r="Z18" s="10" t="n"/>
    </row>
    <row r="19" ht="16.9" customHeight="1" s="169">
      <c r="A19" s="55" t="inlineStr">
        <is>
          <t>토지</t>
        </is>
      </c>
      <c r="B19" s="56" t="n">
        <v>9.6065</v>
      </c>
      <c r="C19" s="56">
        <f>B19*0.3025</f>
        <v/>
      </c>
      <c r="D19" s="111" t="n">
        <v>152000000</v>
      </c>
      <c r="E19" s="112" t="n"/>
      <c r="F19" s="251">
        <f>IFERROR(D19/$D$21,0)</f>
        <v/>
      </c>
      <c r="G19" s="111">
        <f>D19/B19</f>
        <v/>
      </c>
      <c r="H19" s="112" t="n"/>
      <c r="I19" s="111">
        <f>D19/C19</f>
        <v/>
      </c>
      <c r="J19" s="112" t="n"/>
      <c r="N19" s="14" t="n"/>
      <c r="O19" s="15" t="n"/>
      <c r="P19" s="75" t="n"/>
      <c r="Q19" s="75" t="n"/>
      <c r="T19" s="9" t="n"/>
      <c r="U19" s="11" t="n"/>
      <c r="V19" s="12" t="n"/>
      <c r="W19" s="9" t="n"/>
      <c r="X19" s="9" t="n"/>
      <c r="Y19" s="9" t="n"/>
      <c r="Z19" s="9" t="n"/>
    </row>
    <row r="20" ht="16.9" customHeight="1" s="169">
      <c r="A20" s="55" t="inlineStr">
        <is>
          <t>건물</t>
        </is>
      </c>
      <c r="B20" s="56" t="n">
        <v>32.46</v>
      </c>
      <c r="C20" s="56">
        <f>B20*0.3025</f>
        <v/>
      </c>
      <c r="D20" s="111" t="n">
        <v>38000000</v>
      </c>
      <c r="E20" s="112" t="n"/>
      <c r="F20" s="251">
        <f>IFERROR(D20/$D$21,0)</f>
        <v/>
      </c>
      <c r="G20" s="111">
        <f>D20/B20</f>
        <v/>
      </c>
      <c r="H20" s="112" t="n"/>
      <c r="I20" s="111">
        <f>D20/C20</f>
        <v/>
      </c>
      <c r="J20" s="112" t="n"/>
      <c r="N20" s="14" t="n"/>
      <c r="O20" s="15" t="n"/>
      <c r="P20" s="262" t="n"/>
      <c r="Q20" s="75" t="n"/>
      <c r="R20" s="17" t="n"/>
      <c r="T20" s="9" t="n"/>
      <c r="U20" s="11" t="n"/>
      <c r="V20" s="12" t="n"/>
      <c r="W20" s="9" t="n"/>
      <c r="X20" s="9" t="n"/>
      <c r="Y20" s="9" t="n"/>
      <c r="Z20" s="9" t="n"/>
    </row>
    <row r="21" ht="16.9" customHeight="1" s="169" thickBot="1">
      <c r="A21" s="57" t="inlineStr">
        <is>
          <t>합계</t>
        </is>
      </c>
      <c r="B21" s="58">
        <f>SUM(B19:B20)</f>
        <v/>
      </c>
      <c r="C21" s="58">
        <f>SUM(C19:C20)</f>
        <v/>
      </c>
      <c r="D21" s="158">
        <f>SUM(D19:E20)</f>
        <v/>
      </c>
      <c r="E21" s="159" t="n"/>
      <c r="F21" s="252">
        <f>SUM(F19:F20)</f>
        <v/>
      </c>
      <c r="G21" s="158">
        <f>D21/B21</f>
        <v/>
      </c>
      <c r="H21" s="159" t="n"/>
      <c r="I21" s="142">
        <f>D21/C21</f>
        <v/>
      </c>
      <c r="J21" s="143" t="n"/>
      <c r="N21" s="14" t="n"/>
      <c r="O21" s="15" t="n"/>
      <c r="P21" s="255" t="n"/>
      <c r="R21" s="17" t="n"/>
      <c r="T21" s="9" t="n"/>
      <c r="U21" s="11" t="n"/>
      <c r="V21" s="12" t="n"/>
      <c r="W21" s="9" t="n"/>
      <c r="X21" s="9" t="n"/>
      <c r="Y21" s="9" t="n"/>
      <c r="Z21" s="9" t="n"/>
    </row>
    <row r="22" ht="16.9" customHeight="1" s="169">
      <c r="A22" s="186" t="inlineStr">
        <is>
          <t>302호</t>
        </is>
      </c>
      <c r="B22" s="180" t="inlineStr">
        <is>
          <t>면적</t>
        </is>
      </c>
      <c r="C22" s="123" t="n"/>
      <c r="D22" s="180" t="inlineStr">
        <is>
          <t>감정가(법사가)</t>
        </is>
      </c>
      <c r="E22" s="181" t="n"/>
      <c r="F22" s="180" t="inlineStr">
        <is>
          <t>비율</t>
        </is>
      </c>
      <c r="G22" s="180" t="inlineStr">
        <is>
          <t>㎡당금액</t>
        </is>
      </c>
      <c r="H22" s="181" t="n"/>
      <c r="I22" s="182" t="inlineStr">
        <is>
          <t>평당금액</t>
        </is>
      </c>
      <c r="J22" s="183" t="n"/>
      <c r="K22" s="6" t="n"/>
      <c r="Q22" s="12" t="n"/>
      <c r="R22" s="3" t="n"/>
      <c r="S22" s="254" t="n"/>
      <c r="T22" s="254" t="n"/>
      <c r="U22" s="11" t="n"/>
      <c r="V22" s="12" t="n"/>
      <c r="W22" s="254" t="n"/>
      <c r="X22" s="254" t="n"/>
      <c r="Y22" s="2" t="n"/>
      <c r="Z22" s="9" t="n"/>
    </row>
    <row r="23" ht="16.9" customHeight="1" s="169">
      <c r="A23" s="161" t="n"/>
      <c r="B23" s="128" t="inlineStr">
        <is>
          <t>(㎡)</t>
        </is>
      </c>
      <c r="C23" s="128" t="inlineStr">
        <is>
          <t>(평)</t>
        </is>
      </c>
      <c r="D23" s="130" t="n"/>
      <c r="E23" s="152" t="n"/>
      <c r="F23" s="116" t="n"/>
      <c r="G23" s="130" t="n"/>
      <c r="H23" s="152" t="n"/>
      <c r="I23" s="130" t="n"/>
      <c r="J23" s="131" t="n"/>
      <c r="Q23" s="12" t="n"/>
      <c r="R23" s="3" t="n"/>
      <c r="S23" s="254" t="n"/>
      <c r="T23" s="254" t="n"/>
      <c r="U23" s="11" t="n"/>
      <c r="V23" s="12" t="n"/>
      <c r="W23" s="254" t="n"/>
      <c r="X23" s="254" t="n"/>
      <c r="Y23" s="2" t="n"/>
      <c r="Z23" s="9" t="n"/>
    </row>
    <row r="24" ht="16.9" customHeight="1" s="169">
      <c r="A24" s="55" t="inlineStr">
        <is>
          <t>토지</t>
        </is>
      </c>
      <c r="B24" s="56" t="n">
        <v>12.3293</v>
      </c>
      <c r="C24" s="56">
        <f>B24*0.3025</f>
        <v/>
      </c>
      <c r="D24" s="111" t="n">
        <v>195200000</v>
      </c>
      <c r="E24" s="112" t="n"/>
      <c r="F24" s="251">
        <f>IFERROR(D24/$D$26,0)</f>
        <v/>
      </c>
      <c r="G24" s="111">
        <f>D24/B24</f>
        <v/>
      </c>
      <c r="H24" s="112" t="n"/>
      <c r="I24" s="111">
        <f>D24/C24</f>
        <v/>
      </c>
      <c r="J24" s="112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6.9" customHeight="1" s="169">
      <c r="A25" s="55" t="inlineStr">
        <is>
          <t>건물</t>
        </is>
      </c>
      <c r="B25" s="56" t="n">
        <v>41.66</v>
      </c>
      <c r="C25" s="56">
        <f>B25*0.3025</f>
        <v/>
      </c>
      <c r="D25" s="111" t="n">
        <v>48800000</v>
      </c>
      <c r="E25" s="112" t="n"/>
      <c r="F25" s="251">
        <f>IFERROR(D25/$D$26,0)</f>
        <v/>
      </c>
      <c r="G25" s="111">
        <f>D25/B25</f>
        <v/>
      </c>
      <c r="H25" s="112" t="n"/>
      <c r="I25" s="111">
        <f>D25/C25</f>
        <v/>
      </c>
      <c r="J25" s="112" t="n"/>
    </row>
    <row r="26" ht="16.9" customHeight="1" s="169" thickBot="1">
      <c r="A26" s="57" t="inlineStr">
        <is>
          <t>합계</t>
        </is>
      </c>
      <c r="B26" s="58">
        <f>SUM(B24:B25)</f>
        <v/>
      </c>
      <c r="C26" s="58">
        <f>SUM(C24:C25)</f>
        <v/>
      </c>
      <c r="D26" s="158">
        <f>SUM(D24:E25)</f>
        <v/>
      </c>
      <c r="E26" s="159" t="n"/>
      <c r="F26" s="252">
        <f>SUM(F24:F25)</f>
        <v/>
      </c>
      <c r="G26" s="158">
        <f>D26/B26</f>
        <v/>
      </c>
      <c r="H26" s="159" t="n"/>
      <c r="I26" s="142">
        <f>D26/C26</f>
        <v/>
      </c>
      <c r="J26" s="143" t="n"/>
    </row>
    <row r="27" ht="16.9" customHeight="1" s="169">
      <c r="A27" s="186" t="inlineStr">
        <is>
          <t>303호</t>
        </is>
      </c>
      <c r="B27" s="180" t="inlineStr">
        <is>
          <t>면적</t>
        </is>
      </c>
      <c r="C27" s="123" t="n"/>
      <c r="D27" s="180" t="inlineStr">
        <is>
          <t>감정가(법사가)</t>
        </is>
      </c>
      <c r="E27" s="181" t="n"/>
      <c r="F27" s="180" t="inlineStr">
        <is>
          <t>비율</t>
        </is>
      </c>
      <c r="G27" s="180" t="inlineStr">
        <is>
          <t>㎡당금액</t>
        </is>
      </c>
      <c r="H27" s="181" t="n"/>
      <c r="I27" s="182" t="inlineStr">
        <is>
          <t>평당금액</t>
        </is>
      </c>
      <c r="J27" s="183" t="n"/>
      <c r="K27" s="75" t="n"/>
    </row>
    <row r="28" ht="16.9" customHeight="1" s="169">
      <c r="A28" s="161" t="n"/>
      <c r="B28" s="128" t="inlineStr">
        <is>
          <t>(㎡)</t>
        </is>
      </c>
      <c r="C28" s="128" t="inlineStr">
        <is>
          <t>(평)</t>
        </is>
      </c>
      <c r="D28" s="130" t="n"/>
      <c r="E28" s="152" t="n"/>
      <c r="F28" s="116" t="n"/>
      <c r="G28" s="130" t="n"/>
      <c r="H28" s="152" t="n"/>
      <c r="I28" s="130" t="n"/>
      <c r="J28" s="131" t="n"/>
    </row>
    <row r="29" ht="16.9" customHeight="1" s="169">
      <c r="A29" s="55" t="inlineStr">
        <is>
          <t>토지</t>
        </is>
      </c>
      <c r="B29" s="56" t="n">
        <v>7.674</v>
      </c>
      <c r="C29" s="56">
        <f>B29*0.3025</f>
        <v/>
      </c>
      <c r="D29" s="111" t="n">
        <v>121600000</v>
      </c>
      <c r="E29" s="112" t="n"/>
      <c r="F29" s="251">
        <f>IFERROR(D29/$D$31,0)</f>
        <v/>
      </c>
      <c r="G29" s="111">
        <f>D29/B29</f>
        <v/>
      </c>
      <c r="H29" s="112" t="n"/>
      <c r="I29" s="111">
        <f>D29/C29</f>
        <v/>
      </c>
      <c r="J29" s="112" t="n"/>
    </row>
    <row r="30" ht="16.9" customHeight="1" s="169">
      <c r="A30" s="55" t="inlineStr">
        <is>
          <t>건물</t>
        </is>
      </c>
      <c r="B30" s="56" t="n">
        <v>25.93</v>
      </c>
      <c r="C30" s="56">
        <f>B30*0.3025</f>
        <v/>
      </c>
      <c r="D30" s="111" t="n">
        <v>30400000</v>
      </c>
      <c r="E30" s="112" t="n"/>
      <c r="F30" s="251">
        <f>IFERROR(D30/$D$31,0)</f>
        <v/>
      </c>
      <c r="G30" s="111">
        <f>D30/B30</f>
        <v/>
      </c>
      <c r="H30" s="112" t="n"/>
      <c r="I30" s="111">
        <f>D30/C30</f>
        <v/>
      </c>
      <c r="J30" s="112" t="n"/>
    </row>
    <row r="31" ht="16.9" customHeight="1" s="169" thickBot="1">
      <c r="A31" s="57" t="inlineStr">
        <is>
          <t>합계</t>
        </is>
      </c>
      <c r="B31" s="58">
        <f>SUM(B29:B30)</f>
        <v/>
      </c>
      <c r="C31" s="58">
        <f>SUM(C29:C30)</f>
        <v/>
      </c>
      <c r="D31" s="158">
        <f>SUM(D29:E30)</f>
        <v/>
      </c>
      <c r="E31" s="159" t="n"/>
      <c r="F31" s="252">
        <f>SUM(F29:F30)</f>
        <v/>
      </c>
      <c r="G31" s="158">
        <f>D31/B31</f>
        <v/>
      </c>
      <c r="H31" s="159" t="n"/>
      <c r="I31" s="142">
        <f>D31/C31</f>
        <v/>
      </c>
      <c r="J31" s="143" t="n"/>
    </row>
    <row r="32" ht="16.9" customHeight="1" s="169">
      <c r="A32" s="186" t="inlineStr">
        <is>
          <t>304호</t>
        </is>
      </c>
      <c r="B32" s="180" t="inlineStr">
        <is>
          <t>면적</t>
        </is>
      </c>
      <c r="C32" s="123" t="n"/>
      <c r="D32" s="180" t="inlineStr">
        <is>
          <t>감정가(법사가)</t>
        </is>
      </c>
      <c r="E32" s="181" t="n"/>
      <c r="F32" s="180" t="inlineStr">
        <is>
          <t>비율</t>
        </is>
      </c>
      <c r="G32" s="180" t="inlineStr">
        <is>
          <t>㎡당금액</t>
        </is>
      </c>
      <c r="H32" s="181" t="n"/>
      <c r="I32" s="182" t="inlineStr">
        <is>
          <t>평당금액</t>
        </is>
      </c>
      <c r="J32" s="183" t="n"/>
    </row>
    <row r="33" ht="16.9" customHeight="1" s="169">
      <c r="A33" s="161" t="n"/>
      <c r="B33" s="128" t="inlineStr">
        <is>
          <t>(㎡)</t>
        </is>
      </c>
      <c r="C33" s="128" t="inlineStr">
        <is>
          <t>(평)</t>
        </is>
      </c>
      <c r="D33" s="130" t="n"/>
      <c r="E33" s="152" t="n"/>
      <c r="F33" s="116" t="n"/>
      <c r="G33" s="130" t="n"/>
      <c r="H33" s="152" t="n"/>
      <c r="I33" s="130" t="n"/>
      <c r="J33" s="131" t="n"/>
    </row>
    <row r="34" ht="16.9" customHeight="1" s="169">
      <c r="A34" s="55" t="inlineStr">
        <is>
          <t>토지</t>
        </is>
      </c>
      <c r="B34" s="56" t="n">
        <v>10.3109</v>
      </c>
      <c r="C34" s="56">
        <f>B34*0.3025</f>
        <v/>
      </c>
      <c r="D34" s="111" t="n">
        <v>163200000</v>
      </c>
      <c r="E34" s="112" t="n"/>
      <c r="F34" s="251">
        <f>IFERROR(D34/$D$36,0)</f>
        <v/>
      </c>
      <c r="G34" s="111">
        <f>D34/B34</f>
        <v/>
      </c>
      <c r="H34" s="112" t="n"/>
      <c r="I34" s="111">
        <f>D34/C34</f>
        <v/>
      </c>
      <c r="J34" s="112" t="n"/>
    </row>
    <row r="35" ht="16.9" customHeight="1" s="169">
      <c r="A35" s="55" t="inlineStr">
        <is>
          <t>건물</t>
        </is>
      </c>
      <c r="B35" s="56" t="n">
        <v>34.84</v>
      </c>
      <c r="C35" s="56">
        <f>B35*0.3025</f>
        <v/>
      </c>
      <c r="D35" s="111" t="n">
        <v>40800000</v>
      </c>
      <c r="E35" s="112" t="n"/>
      <c r="F35" s="251">
        <f>IFERROR(D35/$D$36,0)</f>
        <v/>
      </c>
      <c r="G35" s="111">
        <f>D35/B35</f>
        <v/>
      </c>
      <c r="H35" s="112" t="n"/>
      <c r="I35" s="111">
        <f>D35/C35</f>
        <v/>
      </c>
      <c r="J35" s="112" t="n"/>
    </row>
    <row r="36" ht="16.9" customHeight="1" s="169" thickBot="1">
      <c r="A36" s="57" t="inlineStr">
        <is>
          <t>합계</t>
        </is>
      </c>
      <c r="B36" s="58">
        <f>SUM(B34:B35)</f>
        <v/>
      </c>
      <c r="C36" s="58">
        <f>SUM(C34:C35)</f>
        <v/>
      </c>
      <c r="D36" s="158">
        <f>SUM(D34:E35)</f>
        <v/>
      </c>
      <c r="E36" s="159" t="n"/>
      <c r="F36" s="252">
        <f>SUM(F34:F35)</f>
        <v/>
      </c>
      <c r="G36" s="158">
        <f>D36/B36</f>
        <v/>
      </c>
      <c r="H36" s="159" t="n"/>
      <c r="I36" s="142">
        <f>D36/C36</f>
        <v/>
      </c>
      <c r="J36" s="143" t="n"/>
    </row>
    <row r="37" ht="16.9" customHeight="1" s="169">
      <c r="A37" s="186" t="inlineStr">
        <is>
          <t>305호</t>
        </is>
      </c>
      <c r="B37" s="180" t="inlineStr">
        <is>
          <t>면적</t>
        </is>
      </c>
      <c r="C37" s="123" t="n"/>
      <c r="D37" s="180" t="inlineStr">
        <is>
          <t>감정가(법사가)</t>
        </is>
      </c>
      <c r="E37" s="181" t="n"/>
      <c r="F37" s="180" t="inlineStr">
        <is>
          <t>비율</t>
        </is>
      </c>
      <c r="G37" s="180" t="inlineStr">
        <is>
          <t>㎡당금액</t>
        </is>
      </c>
      <c r="H37" s="181" t="n"/>
      <c r="I37" s="182" t="inlineStr">
        <is>
          <t>평당금액</t>
        </is>
      </c>
      <c r="J37" s="183" t="n"/>
    </row>
    <row r="38" ht="16.9" customHeight="1" s="169">
      <c r="A38" s="161" t="n"/>
      <c r="B38" s="128" t="inlineStr">
        <is>
          <t>(㎡)</t>
        </is>
      </c>
      <c r="C38" s="128" t="inlineStr">
        <is>
          <t>(평)</t>
        </is>
      </c>
      <c r="D38" s="130" t="n"/>
      <c r="E38" s="152" t="n"/>
      <c r="F38" s="116" t="n"/>
      <c r="G38" s="130" t="n"/>
      <c r="H38" s="152" t="n"/>
      <c r="I38" s="130" t="n"/>
      <c r="J38" s="131" t="n"/>
    </row>
    <row r="39" ht="16.9" customHeight="1" s="169">
      <c r="A39" s="55" t="inlineStr">
        <is>
          <t>토지</t>
        </is>
      </c>
      <c r="B39" s="56" t="n">
        <v>8.2607</v>
      </c>
      <c r="C39" s="56">
        <f>B39*0.3025</f>
        <v/>
      </c>
      <c r="D39" s="111" t="n">
        <v>129600000</v>
      </c>
      <c r="E39" s="112" t="n"/>
      <c r="F39" s="251">
        <f>IFERROR(D39/$D$41,0)</f>
        <v/>
      </c>
      <c r="G39" s="111">
        <f>D39/B39</f>
        <v/>
      </c>
      <c r="H39" s="112" t="n"/>
      <c r="I39" s="111">
        <f>D39/C39</f>
        <v/>
      </c>
      <c r="J39" s="112" t="n"/>
    </row>
    <row r="40" ht="16.9" customHeight="1" s="169">
      <c r="A40" s="55" t="inlineStr">
        <is>
          <t>건물</t>
        </is>
      </c>
      <c r="B40" s="56" t="n">
        <v>27.73</v>
      </c>
      <c r="C40" s="56">
        <f>B40*0.3025</f>
        <v/>
      </c>
      <c r="D40" s="111" t="n">
        <v>32400000</v>
      </c>
      <c r="E40" s="112" t="n"/>
      <c r="F40" s="251">
        <f>IFERROR(D40/$D$41,0)</f>
        <v/>
      </c>
      <c r="G40" s="111">
        <f>D40/B40</f>
        <v/>
      </c>
      <c r="H40" s="112" t="n"/>
      <c r="I40" s="111">
        <f>D40/C40</f>
        <v/>
      </c>
      <c r="J40" s="112" t="n"/>
    </row>
    <row r="41" ht="16.9" customHeight="1" s="169" thickBot="1">
      <c r="A41" s="57" t="inlineStr">
        <is>
          <t>합계</t>
        </is>
      </c>
      <c r="B41" s="58">
        <f>SUM(B39:B40)</f>
        <v/>
      </c>
      <c r="C41" s="58">
        <f>SUM(C39:C40)</f>
        <v/>
      </c>
      <c r="D41" s="158">
        <f>SUM(D39:E40)</f>
        <v/>
      </c>
      <c r="E41" s="159" t="n"/>
      <c r="F41" s="252">
        <f>SUM(F39:F40)</f>
        <v/>
      </c>
      <c r="G41" s="158">
        <f>D41/B41</f>
        <v/>
      </c>
      <c r="H41" s="159" t="n"/>
      <c r="I41" s="142">
        <f>D41/C41</f>
        <v/>
      </c>
      <c r="J41" s="143" t="n"/>
    </row>
    <row r="42" ht="16.9" customHeight="1" s="169">
      <c r="A42" s="178" t="inlineStr">
        <is>
          <t>306호</t>
        </is>
      </c>
      <c r="B42" s="179" t="inlineStr">
        <is>
          <t>면적</t>
        </is>
      </c>
      <c r="C42" s="123" t="n"/>
      <c r="D42" s="179" t="inlineStr">
        <is>
          <t>감정가(법사가)</t>
        </is>
      </c>
      <c r="E42" s="181" t="n"/>
      <c r="F42" s="179" t="inlineStr">
        <is>
          <t>비율</t>
        </is>
      </c>
      <c r="G42" s="179" t="inlineStr">
        <is>
          <t>㎡당금액</t>
        </is>
      </c>
      <c r="H42" s="181" t="n"/>
      <c r="I42" s="184" t="inlineStr">
        <is>
          <t>평당금액</t>
        </is>
      </c>
      <c r="J42" s="183" t="n"/>
    </row>
    <row r="43" ht="16.9" customHeight="1" s="169">
      <c r="A43" s="161" t="n"/>
      <c r="B43" s="100" t="inlineStr">
        <is>
          <t>(㎡)</t>
        </is>
      </c>
      <c r="C43" s="100" t="inlineStr">
        <is>
          <t>(평)</t>
        </is>
      </c>
      <c r="D43" s="130" t="n"/>
      <c r="E43" s="152" t="n"/>
      <c r="F43" s="116" t="n"/>
      <c r="G43" s="130" t="n"/>
      <c r="H43" s="152" t="n"/>
      <c r="I43" s="130" t="n"/>
      <c r="J43" s="131" t="n"/>
    </row>
    <row r="44" ht="16.9" customHeight="1" s="169">
      <c r="A44" s="89" t="inlineStr">
        <is>
          <t>토지</t>
        </is>
      </c>
      <c r="B44" s="101" t="n">
        <v>8.555899999999999</v>
      </c>
      <c r="C44" s="101">
        <f>B44*0.3025</f>
        <v/>
      </c>
      <c r="D44" s="121" t="n">
        <v>135200000</v>
      </c>
      <c r="E44" s="112" t="n"/>
      <c r="F44" s="263">
        <f>IFERROR(D44/$D$46,0)</f>
        <v/>
      </c>
      <c r="G44" s="121">
        <f>D44/B44</f>
        <v/>
      </c>
      <c r="H44" s="112" t="n"/>
      <c r="I44" s="121">
        <f>D44/C44</f>
        <v/>
      </c>
      <c r="J44" s="112" t="n"/>
    </row>
    <row r="45" ht="16.9" customHeight="1" s="169">
      <c r="A45" s="89" t="inlineStr">
        <is>
          <t>건물</t>
        </is>
      </c>
      <c r="B45" s="101" t="n">
        <v>28.91</v>
      </c>
      <c r="C45" s="101">
        <f>B45*0.3025</f>
        <v/>
      </c>
      <c r="D45" s="121" t="n">
        <v>33800000</v>
      </c>
      <c r="E45" s="112" t="n"/>
      <c r="F45" s="263">
        <f>IFERROR(D45/$D$46,0)</f>
        <v/>
      </c>
      <c r="G45" s="121">
        <f>D45/B45</f>
        <v/>
      </c>
      <c r="H45" s="112" t="n"/>
      <c r="I45" s="121">
        <f>D45/C45</f>
        <v/>
      </c>
      <c r="J45" s="112" t="n"/>
    </row>
    <row r="46" ht="16.9" customHeight="1" s="169">
      <c r="A46" s="57" t="inlineStr">
        <is>
          <t>합계</t>
        </is>
      </c>
      <c r="B46" s="58">
        <f>SUM(B44:B45)</f>
        <v/>
      </c>
      <c r="C46" s="58">
        <f>SUM(C44:C45)</f>
        <v/>
      </c>
      <c r="D46" s="158">
        <f>SUM(D44:E45)</f>
        <v/>
      </c>
      <c r="E46" s="159" t="n"/>
      <c r="F46" s="252">
        <f>SUM(F44:F45)</f>
        <v/>
      </c>
      <c r="G46" s="158">
        <f>D46/B46</f>
        <v/>
      </c>
      <c r="H46" s="159" t="n"/>
      <c r="I46" s="142">
        <f>D46/C46</f>
        <v/>
      </c>
      <c r="J46" s="143" t="n"/>
    </row>
    <row r="47" ht="16.9" customHeight="1" s="169">
      <c r="A47" s="178" t="inlineStr">
        <is>
          <t>307호</t>
        </is>
      </c>
      <c r="B47" s="179" t="inlineStr">
        <is>
          <t>면적</t>
        </is>
      </c>
      <c r="C47" s="123" t="n"/>
      <c r="D47" s="179" t="inlineStr">
        <is>
          <t>감정가(법사가)</t>
        </is>
      </c>
      <c r="E47" s="181" t="n"/>
      <c r="F47" s="179" t="inlineStr">
        <is>
          <t>비율</t>
        </is>
      </c>
      <c r="G47" s="179" t="inlineStr">
        <is>
          <t>㎡당금액</t>
        </is>
      </c>
      <c r="H47" s="181" t="n"/>
      <c r="I47" s="184" t="inlineStr">
        <is>
          <t>평당금액</t>
        </is>
      </c>
      <c r="J47" s="183" t="n"/>
    </row>
    <row r="48" ht="16.9" customHeight="1" s="169">
      <c r="A48" s="161" t="n"/>
      <c r="B48" s="100" t="inlineStr">
        <is>
          <t>(㎡)</t>
        </is>
      </c>
      <c r="C48" s="100" t="inlineStr">
        <is>
          <t>(평)</t>
        </is>
      </c>
      <c r="D48" s="130" t="n"/>
      <c r="E48" s="152" t="n"/>
      <c r="F48" s="116" t="n"/>
      <c r="G48" s="130" t="n"/>
      <c r="H48" s="152" t="n"/>
      <c r="I48" s="130" t="n"/>
      <c r="J48" s="131" t="n"/>
    </row>
    <row r="49" ht="16.9" customHeight="1" s="169">
      <c r="A49" s="89" t="inlineStr">
        <is>
          <t>토지</t>
        </is>
      </c>
      <c r="B49" s="101" t="n">
        <v>11.4532</v>
      </c>
      <c r="C49" s="101">
        <f>B49*0.3025</f>
        <v/>
      </c>
      <c r="D49" s="121" t="n">
        <v>181600000</v>
      </c>
      <c r="E49" s="112" t="n"/>
      <c r="F49" s="263">
        <f>IFERROR(D49/$D$51,0)</f>
        <v/>
      </c>
      <c r="G49" s="121">
        <f>D49/B49</f>
        <v/>
      </c>
      <c r="H49" s="112" t="n"/>
      <c r="I49" s="121">
        <f>D49/C49</f>
        <v/>
      </c>
      <c r="J49" s="112" t="n"/>
    </row>
    <row r="50" ht="16.9" customHeight="1" s="169">
      <c r="A50" s="89" t="inlineStr">
        <is>
          <t>건물</t>
        </is>
      </c>
      <c r="B50" s="101" t="n">
        <v>38.7</v>
      </c>
      <c r="C50" s="101">
        <f>B50*0.3025</f>
        <v/>
      </c>
      <c r="D50" s="121" t="n">
        <v>45400000</v>
      </c>
      <c r="E50" s="112" t="n"/>
      <c r="F50" s="263">
        <f>IFERROR(D50/$D$51,0)</f>
        <v/>
      </c>
      <c r="G50" s="121">
        <f>D50/B50</f>
        <v/>
      </c>
      <c r="H50" s="112" t="n"/>
      <c r="I50" s="121">
        <f>D50/C50</f>
        <v/>
      </c>
      <c r="J50" s="112" t="n"/>
    </row>
    <row r="51" ht="16.9" customHeight="1" s="169">
      <c r="A51" s="57" t="inlineStr">
        <is>
          <t>합계</t>
        </is>
      </c>
      <c r="B51" s="58">
        <f>SUM(B49:B50)</f>
        <v/>
      </c>
      <c r="C51" s="58">
        <f>SUM(C49:C50)</f>
        <v/>
      </c>
      <c r="D51" s="158">
        <f>SUM(D49:E50)</f>
        <v/>
      </c>
      <c r="E51" s="159" t="n"/>
      <c r="F51" s="252">
        <f>SUM(F49:F50)</f>
        <v/>
      </c>
      <c r="G51" s="158">
        <f>D51/B51</f>
        <v/>
      </c>
      <c r="H51" s="159" t="n"/>
      <c r="I51" s="142">
        <f>D51/C51</f>
        <v/>
      </c>
      <c r="J51" s="143" t="n"/>
    </row>
    <row r="52" ht="16.9" customHeight="1" s="169">
      <c r="A52" s="178" t="inlineStr">
        <is>
          <t>308호</t>
        </is>
      </c>
      <c r="B52" s="179" t="inlineStr">
        <is>
          <t>면적</t>
        </is>
      </c>
      <c r="C52" s="123" t="n"/>
      <c r="D52" s="179" t="inlineStr">
        <is>
          <t>감정가(법사가)</t>
        </is>
      </c>
      <c r="E52" s="181" t="n"/>
      <c r="F52" s="179" t="inlineStr">
        <is>
          <t>비율</t>
        </is>
      </c>
      <c r="G52" s="179" t="inlineStr">
        <is>
          <t>㎡당금액</t>
        </is>
      </c>
      <c r="H52" s="181" t="n"/>
      <c r="I52" s="184" t="inlineStr">
        <is>
          <t>평당금액</t>
        </is>
      </c>
      <c r="J52" s="183" t="n"/>
    </row>
    <row r="53" ht="16.9" customHeight="1" s="169">
      <c r="A53" s="161" t="n"/>
      <c r="B53" s="100" t="inlineStr">
        <is>
          <t>(㎡)</t>
        </is>
      </c>
      <c r="C53" s="100" t="inlineStr">
        <is>
          <t>(평)</t>
        </is>
      </c>
      <c r="D53" s="130" t="n"/>
      <c r="E53" s="152" t="n"/>
      <c r="F53" s="116" t="n"/>
      <c r="G53" s="130" t="n"/>
      <c r="H53" s="152" t="n"/>
      <c r="I53" s="130" t="n"/>
      <c r="J53" s="131" t="n"/>
    </row>
    <row r="54" ht="16.9" customHeight="1" s="169">
      <c r="A54" s="89" t="inlineStr">
        <is>
          <t>토지</t>
        </is>
      </c>
      <c r="B54" s="101" t="n">
        <v>4.3149</v>
      </c>
      <c r="C54" s="101">
        <f>B54*0.3025</f>
        <v/>
      </c>
      <c r="D54" s="121" t="n">
        <v>68000000</v>
      </c>
      <c r="E54" s="112" t="n"/>
      <c r="F54" s="263">
        <f>IFERROR(D54/$D$56,0)</f>
        <v/>
      </c>
      <c r="G54" s="121">
        <f>D54/B54</f>
        <v/>
      </c>
      <c r="H54" s="112" t="n"/>
      <c r="I54" s="121">
        <f>D54/C54</f>
        <v/>
      </c>
      <c r="J54" s="112" t="n"/>
    </row>
    <row r="55" ht="16.9" customHeight="1" s="169">
      <c r="A55" s="89" t="inlineStr">
        <is>
          <t>건물</t>
        </is>
      </c>
      <c r="B55" s="101" t="n">
        <v>14.58</v>
      </c>
      <c r="C55" s="101">
        <f>B55*0.3025</f>
        <v/>
      </c>
      <c r="D55" s="121" t="n">
        <v>17000000</v>
      </c>
      <c r="E55" s="112" t="n"/>
      <c r="F55" s="263">
        <f>IFERROR(D55/$D$56,0)</f>
        <v/>
      </c>
      <c r="G55" s="121">
        <f>D55/B55</f>
        <v/>
      </c>
      <c r="H55" s="112" t="n"/>
      <c r="I55" s="121">
        <f>D55/C55</f>
        <v/>
      </c>
      <c r="J55" s="112" t="n"/>
    </row>
    <row r="56" ht="16.9" customHeight="1" s="169">
      <c r="A56" s="57" t="inlineStr">
        <is>
          <t>합계</t>
        </is>
      </c>
      <c r="B56" s="58">
        <f>SUM(B54:B55)</f>
        <v/>
      </c>
      <c r="C56" s="58">
        <f>SUM(C54:C55)</f>
        <v/>
      </c>
      <c r="D56" s="158">
        <f>SUM(D54:E55)</f>
        <v/>
      </c>
      <c r="E56" s="159" t="n"/>
      <c r="F56" s="252">
        <f>SUM(F54:F55)</f>
        <v/>
      </c>
      <c r="G56" s="158">
        <f>D56/B56</f>
        <v/>
      </c>
      <c r="H56" s="159" t="n"/>
      <c r="I56" s="142">
        <f>D56/C56</f>
        <v/>
      </c>
      <c r="J56" s="143" t="n"/>
    </row>
    <row r="57" ht="16.9" customHeight="1" s="169">
      <c r="A57" s="178" t="inlineStr">
        <is>
          <t>309호</t>
        </is>
      </c>
      <c r="B57" s="179" t="inlineStr">
        <is>
          <t>면적</t>
        </is>
      </c>
      <c r="C57" s="123" t="n"/>
      <c r="D57" s="179" t="inlineStr">
        <is>
          <t>감정가(법사가)</t>
        </is>
      </c>
      <c r="E57" s="181" t="n"/>
      <c r="F57" s="179" t="inlineStr">
        <is>
          <t>비율</t>
        </is>
      </c>
      <c r="G57" s="179" t="inlineStr">
        <is>
          <t>㎡당금액</t>
        </is>
      </c>
      <c r="H57" s="181" t="n"/>
      <c r="I57" s="184" t="inlineStr">
        <is>
          <t>평당금액</t>
        </is>
      </c>
      <c r="J57" s="183" t="n"/>
    </row>
    <row r="58" ht="16.9" customHeight="1" s="169">
      <c r="A58" s="161" t="n"/>
      <c r="B58" s="100" t="inlineStr">
        <is>
          <t>(㎡)</t>
        </is>
      </c>
      <c r="C58" s="100" t="inlineStr">
        <is>
          <t>(평)</t>
        </is>
      </c>
      <c r="D58" s="130" t="n"/>
      <c r="E58" s="152" t="n"/>
      <c r="F58" s="116" t="n"/>
      <c r="G58" s="130" t="n"/>
      <c r="H58" s="152" t="n"/>
      <c r="I58" s="130" t="n"/>
      <c r="J58" s="131" t="n"/>
    </row>
    <row r="59" ht="16.9" customHeight="1" s="169">
      <c r="A59" s="89" t="inlineStr">
        <is>
          <t>토지</t>
        </is>
      </c>
      <c r="B59" s="101" t="n">
        <v>9.997199999999999</v>
      </c>
      <c r="C59" s="101">
        <f>B59*0.3025</f>
        <v/>
      </c>
      <c r="D59" s="121" t="n">
        <v>158400000</v>
      </c>
      <c r="E59" s="112" t="n"/>
      <c r="F59" s="263">
        <f>IFERROR(D59/$D$61,0)</f>
        <v/>
      </c>
      <c r="G59" s="121">
        <f>D59/B59</f>
        <v/>
      </c>
      <c r="H59" s="112" t="n"/>
      <c r="I59" s="121">
        <f>D59/C59</f>
        <v/>
      </c>
      <c r="J59" s="112" t="n"/>
    </row>
    <row r="60" ht="16.9" customHeight="1" s="169">
      <c r="A60" s="89" t="inlineStr">
        <is>
          <t>건물</t>
        </is>
      </c>
      <c r="B60" s="101" t="n">
        <v>33.78</v>
      </c>
      <c r="C60" s="101">
        <f>B60*0.3025</f>
        <v/>
      </c>
      <c r="D60" s="121" t="n">
        <v>39600000</v>
      </c>
      <c r="E60" s="112" t="n"/>
      <c r="F60" s="263">
        <f>IFERROR(D60/$D$61,0)</f>
        <v/>
      </c>
      <c r="G60" s="121">
        <f>D60/B60</f>
        <v/>
      </c>
      <c r="H60" s="112" t="n"/>
      <c r="I60" s="121">
        <f>D60/C60</f>
        <v/>
      </c>
      <c r="J60" s="112" t="n"/>
    </row>
    <row r="61" ht="16.9" customHeight="1" s="169">
      <c r="A61" s="57" t="inlineStr">
        <is>
          <t>합계</t>
        </is>
      </c>
      <c r="B61" s="58">
        <f>SUM(B59:B60)</f>
        <v/>
      </c>
      <c r="C61" s="58">
        <f>SUM(C59:C60)</f>
        <v/>
      </c>
      <c r="D61" s="158">
        <f>SUM(D59:E60)</f>
        <v/>
      </c>
      <c r="E61" s="159" t="n"/>
      <c r="F61" s="252">
        <f>SUM(F59:F60)</f>
        <v/>
      </c>
      <c r="G61" s="158">
        <f>D61/B61</f>
        <v/>
      </c>
      <c r="H61" s="159" t="n"/>
      <c r="I61" s="142">
        <f>D61/C61</f>
        <v/>
      </c>
      <c r="J61" s="143" t="n"/>
    </row>
    <row r="62" ht="16.9" customHeight="1" s="169">
      <c r="A62" s="178" t="inlineStr">
        <is>
          <t>310호</t>
        </is>
      </c>
      <c r="B62" s="179" t="inlineStr">
        <is>
          <t>면적</t>
        </is>
      </c>
      <c r="C62" s="123" t="n"/>
      <c r="D62" s="179" t="inlineStr">
        <is>
          <t>감정가(법사가)</t>
        </is>
      </c>
      <c r="E62" s="181" t="n"/>
      <c r="F62" s="179" t="inlineStr">
        <is>
          <t>비율</t>
        </is>
      </c>
      <c r="G62" s="179" t="inlineStr">
        <is>
          <t>㎡당금액</t>
        </is>
      </c>
      <c r="H62" s="181" t="n"/>
      <c r="I62" s="184" t="inlineStr">
        <is>
          <t>평당금액</t>
        </is>
      </c>
      <c r="J62" s="183" t="n"/>
    </row>
    <row r="63" ht="16.9" customHeight="1" s="169">
      <c r="A63" s="161" t="n"/>
      <c r="B63" s="100" t="inlineStr">
        <is>
          <t>(㎡)</t>
        </is>
      </c>
      <c r="C63" s="100" t="inlineStr">
        <is>
          <t>(평)</t>
        </is>
      </c>
      <c r="D63" s="130" t="n"/>
      <c r="E63" s="152" t="n"/>
      <c r="F63" s="116" t="n"/>
      <c r="G63" s="130" t="n"/>
      <c r="H63" s="152" t="n"/>
      <c r="I63" s="130" t="n"/>
      <c r="J63" s="131" t="n"/>
    </row>
    <row r="64" ht="16.9" customHeight="1" s="169">
      <c r="A64" s="89" t="inlineStr">
        <is>
          <t>토지</t>
        </is>
      </c>
      <c r="B64" s="101" t="n">
        <v>10.0593</v>
      </c>
      <c r="C64" s="101">
        <f>B64*0.3025</f>
        <v/>
      </c>
      <c r="D64" s="121" t="n">
        <v>159200000</v>
      </c>
      <c r="E64" s="112" t="n"/>
      <c r="F64" s="263">
        <f>IFERROR(D64/$D$66,0)</f>
        <v/>
      </c>
      <c r="G64" s="121">
        <f>D64/B64</f>
        <v/>
      </c>
      <c r="H64" s="112" t="n"/>
      <c r="I64" s="121">
        <f>D64/C64</f>
        <v/>
      </c>
      <c r="J64" s="112" t="n"/>
    </row>
    <row r="65" ht="16.9" customHeight="1" s="169">
      <c r="A65" s="89" t="inlineStr">
        <is>
          <t>건물</t>
        </is>
      </c>
      <c r="B65" s="101" t="n">
        <v>33.99</v>
      </c>
      <c r="C65" s="101">
        <f>B65*0.3025</f>
        <v/>
      </c>
      <c r="D65" s="121" t="n">
        <v>39800000</v>
      </c>
      <c r="E65" s="112" t="n"/>
      <c r="F65" s="263">
        <f>IFERROR(D65/$D$66,0)</f>
        <v/>
      </c>
      <c r="G65" s="121">
        <f>D65/B65</f>
        <v/>
      </c>
      <c r="H65" s="112" t="n"/>
      <c r="I65" s="121">
        <f>D65/C65</f>
        <v/>
      </c>
      <c r="J65" s="112" t="n"/>
    </row>
    <row r="66" ht="16.9" customHeight="1" s="169">
      <c r="A66" s="57" t="inlineStr">
        <is>
          <t>합계</t>
        </is>
      </c>
      <c r="B66" s="58">
        <f>SUM(B64:B65)</f>
        <v/>
      </c>
      <c r="C66" s="58">
        <f>SUM(C64:C65)</f>
        <v/>
      </c>
      <c r="D66" s="158">
        <f>SUM(D64:E65)</f>
        <v/>
      </c>
      <c r="E66" s="159" t="n"/>
      <c r="F66" s="252">
        <f>SUM(F64:F65)</f>
        <v/>
      </c>
      <c r="G66" s="158">
        <f>D66/B66</f>
        <v/>
      </c>
      <c r="H66" s="159" t="n"/>
      <c r="I66" s="142">
        <f>D66/C66</f>
        <v/>
      </c>
      <c r="J66" s="143" t="n"/>
    </row>
    <row r="67" ht="16.9" customHeight="1" s="169">
      <c r="A67" s="178" t="inlineStr">
        <is>
          <t>311호</t>
        </is>
      </c>
      <c r="B67" s="179" t="inlineStr">
        <is>
          <t>면적</t>
        </is>
      </c>
      <c r="C67" s="123" t="n"/>
      <c r="D67" s="179" t="inlineStr">
        <is>
          <t>감정가(법사가)</t>
        </is>
      </c>
      <c r="E67" s="181" t="n"/>
      <c r="F67" s="179" t="inlineStr">
        <is>
          <t>비율</t>
        </is>
      </c>
      <c r="G67" s="179" t="inlineStr">
        <is>
          <t>㎡당금액</t>
        </is>
      </c>
      <c r="H67" s="181" t="n"/>
      <c r="I67" s="184" t="inlineStr">
        <is>
          <t>평당금액</t>
        </is>
      </c>
      <c r="J67" s="183" t="n"/>
    </row>
    <row r="68" ht="16.9" customHeight="1" s="169">
      <c r="A68" s="161" t="n"/>
      <c r="B68" s="100" t="inlineStr">
        <is>
          <t>(㎡)</t>
        </is>
      </c>
      <c r="C68" s="100" t="inlineStr">
        <is>
          <t>(평)</t>
        </is>
      </c>
      <c r="D68" s="130" t="n"/>
      <c r="E68" s="152" t="n"/>
      <c r="F68" s="116" t="n"/>
      <c r="G68" s="130" t="n"/>
      <c r="H68" s="152" t="n"/>
      <c r="I68" s="130" t="n"/>
      <c r="J68" s="131" t="n"/>
    </row>
    <row r="69" ht="16.9" customHeight="1" s="169">
      <c r="A69" s="89" t="inlineStr">
        <is>
          <t>토지</t>
        </is>
      </c>
      <c r="B69" s="101" t="n">
        <v>9.8314</v>
      </c>
      <c r="C69" s="101">
        <f>B69*0.3025</f>
        <v/>
      </c>
      <c r="D69" s="121" t="n">
        <v>156000000</v>
      </c>
      <c r="E69" s="112" t="n"/>
      <c r="F69" s="263">
        <f>IFERROR(D69/$D$71,0)</f>
        <v/>
      </c>
      <c r="G69" s="121">
        <f>D69/B69</f>
        <v/>
      </c>
      <c r="H69" s="112" t="n"/>
      <c r="I69" s="121">
        <f>D69/C69</f>
        <v/>
      </c>
      <c r="J69" s="112" t="n"/>
    </row>
    <row r="70" ht="16.9" customHeight="1" s="169">
      <c r="A70" s="89" t="inlineStr">
        <is>
          <t>건물</t>
        </is>
      </c>
      <c r="B70" s="101" t="n">
        <v>33.22</v>
      </c>
      <c r="C70" s="101">
        <f>B70*0.3025</f>
        <v/>
      </c>
      <c r="D70" s="121" t="n">
        <v>39000000</v>
      </c>
      <c r="E70" s="112" t="n"/>
      <c r="F70" s="263">
        <f>IFERROR(D70/$D$71,0)</f>
        <v/>
      </c>
      <c r="G70" s="121">
        <f>D70/B70</f>
        <v/>
      </c>
      <c r="H70" s="112" t="n"/>
      <c r="I70" s="121">
        <f>D70/C70</f>
        <v/>
      </c>
      <c r="J70" s="112" t="n"/>
    </row>
    <row r="71" ht="16.9" customHeight="1" s="169">
      <c r="A71" s="57" t="inlineStr">
        <is>
          <t>합계</t>
        </is>
      </c>
      <c r="B71" s="58">
        <f>SUM(B69:B70)</f>
        <v/>
      </c>
      <c r="C71" s="58">
        <f>SUM(C69:C70)</f>
        <v/>
      </c>
      <c r="D71" s="158">
        <f>SUM(D69:E70)</f>
        <v/>
      </c>
      <c r="E71" s="159" t="n"/>
      <c r="F71" s="252">
        <f>SUM(F69:F70)</f>
        <v/>
      </c>
      <c r="G71" s="158">
        <f>D71/B71</f>
        <v/>
      </c>
      <c r="H71" s="159" t="n"/>
      <c r="I71" s="142">
        <f>D71/C71</f>
        <v/>
      </c>
      <c r="J71" s="143" t="n"/>
    </row>
    <row r="72" ht="16.9" customHeight="1" s="169">
      <c r="A72" s="178" t="inlineStr">
        <is>
          <t>312호</t>
        </is>
      </c>
      <c r="B72" s="179" t="inlineStr">
        <is>
          <t>면적</t>
        </is>
      </c>
      <c r="C72" s="123" t="n"/>
      <c r="D72" s="179" t="inlineStr">
        <is>
          <t>감정가(법사가)</t>
        </is>
      </c>
      <c r="E72" s="181" t="n"/>
      <c r="F72" s="179" t="inlineStr">
        <is>
          <t>비율</t>
        </is>
      </c>
      <c r="G72" s="179" t="inlineStr">
        <is>
          <t>㎡당금액</t>
        </is>
      </c>
      <c r="H72" s="181" t="n"/>
      <c r="I72" s="184" t="inlineStr">
        <is>
          <t>평당금액</t>
        </is>
      </c>
      <c r="J72" s="183" t="n"/>
    </row>
    <row r="73" ht="16.9" customHeight="1" s="169">
      <c r="A73" s="161" t="n"/>
      <c r="B73" s="100" t="inlineStr">
        <is>
          <t>(㎡)</t>
        </is>
      </c>
      <c r="C73" s="100" t="inlineStr">
        <is>
          <t>(평)</t>
        </is>
      </c>
      <c r="D73" s="130" t="n"/>
      <c r="E73" s="152" t="n"/>
      <c r="F73" s="116" t="n"/>
      <c r="G73" s="130" t="n"/>
      <c r="H73" s="152" t="n"/>
      <c r="I73" s="130" t="n"/>
      <c r="J73" s="131" t="n"/>
    </row>
    <row r="74" ht="16.9" customHeight="1" s="169">
      <c r="A74" s="89" t="inlineStr">
        <is>
          <t>토지</t>
        </is>
      </c>
      <c r="B74" s="101" t="n">
        <v>27.9939</v>
      </c>
      <c r="C74" s="101">
        <f>B74*0.3025</f>
        <v/>
      </c>
      <c r="D74" s="121" t="n">
        <v>431200000</v>
      </c>
      <c r="E74" s="112" t="n"/>
      <c r="F74" s="263">
        <f>IFERROR(D74/$D$76,0)</f>
        <v/>
      </c>
      <c r="G74" s="121">
        <f>D74/B74</f>
        <v/>
      </c>
      <c r="H74" s="112" t="n"/>
      <c r="I74" s="121">
        <f>D74/C74</f>
        <v/>
      </c>
      <c r="J74" s="112" t="n"/>
    </row>
    <row r="75" ht="16.9" customHeight="1" s="169">
      <c r="A75" s="89" t="inlineStr">
        <is>
          <t>건물</t>
        </is>
      </c>
      <c r="B75" s="101" t="n">
        <v>94.59</v>
      </c>
      <c r="C75" s="101">
        <f>B75*0.3025</f>
        <v/>
      </c>
      <c r="D75" s="121" t="n">
        <v>107800000</v>
      </c>
      <c r="E75" s="112" t="n"/>
      <c r="F75" s="263">
        <f>IFERROR(D75/$D$76,0)</f>
        <v/>
      </c>
      <c r="G75" s="121">
        <f>D75/B75</f>
        <v/>
      </c>
      <c r="H75" s="112" t="n"/>
      <c r="I75" s="121">
        <f>D75/C75</f>
        <v/>
      </c>
      <c r="J75" s="112" t="n"/>
    </row>
    <row r="76" ht="16.9" customHeight="1" s="169">
      <c r="A76" s="57" t="inlineStr">
        <is>
          <t>합계</t>
        </is>
      </c>
      <c r="B76" s="58">
        <f>SUM(B74:B75)</f>
        <v/>
      </c>
      <c r="C76" s="58">
        <f>SUM(C74:C75)</f>
        <v/>
      </c>
      <c r="D76" s="158">
        <f>SUM(D74:E75)</f>
        <v/>
      </c>
      <c r="E76" s="159" t="n"/>
      <c r="F76" s="252">
        <f>SUM(F74:F75)</f>
        <v/>
      </c>
      <c r="G76" s="158">
        <f>D76/B76</f>
        <v/>
      </c>
      <c r="H76" s="159" t="n"/>
      <c r="I76" s="142">
        <f>D76/C76</f>
        <v/>
      </c>
      <c r="J76" s="143" t="n"/>
    </row>
    <row r="77" ht="16.9" customHeight="1" s="169">
      <c r="A77" s="178" t="inlineStr">
        <is>
          <t>313호</t>
        </is>
      </c>
      <c r="B77" s="179" t="inlineStr">
        <is>
          <t>면적</t>
        </is>
      </c>
      <c r="C77" s="123" t="n"/>
      <c r="D77" s="179" t="inlineStr">
        <is>
          <t>감정가(법사가)</t>
        </is>
      </c>
      <c r="E77" s="181" t="n"/>
      <c r="F77" s="179" t="inlineStr">
        <is>
          <t>비율</t>
        </is>
      </c>
      <c r="G77" s="179" t="inlineStr">
        <is>
          <t>㎡당금액</t>
        </is>
      </c>
      <c r="H77" s="181" t="n"/>
      <c r="I77" s="184" t="inlineStr">
        <is>
          <t>평당금액</t>
        </is>
      </c>
      <c r="J77" s="183" t="n"/>
    </row>
    <row r="78" ht="16.9" customHeight="1" s="169">
      <c r="A78" s="161" t="n"/>
      <c r="B78" s="100" t="inlineStr">
        <is>
          <t>(㎡)</t>
        </is>
      </c>
      <c r="C78" s="100" t="inlineStr">
        <is>
          <t>(평)</t>
        </is>
      </c>
      <c r="D78" s="130" t="n"/>
      <c r="E78" s="152" t="n"/>
      <c r="F78" s="116" t="n"/>
      <c r="G78" s="130" t="n"/>
      <c r="H78" s="152" t="n"/>
      <c r="I78" s="130" t="n"/>
      <c r="J78" s="131" t="n"/>
    </row>
    <row r="79" ht="16.9" customHeight="1" s="169">
      <c r="A79" s="89" t="inlineStr">
        <is>
          <t>토지</t>
        </is>
      </c>
      <c r="B79" s="101" t="n">
        <v>24.8923</v>
      </c>
      <c r="C79" s="101">
        <f>B79*0.3025</f>
        <v/>
      </c>
      <c r="D79" s="121" t="n">
        <v>383200000</v>
      </c>
      <c r="E79" s="112" t="n"/>
      <c r="F79" s="263">
        <f>IFERROR(D79/$D$81,0)</f>
        <v/>
      </c>
      <c r="G79" s="121">
        <f>D79/B79</f>
        <v/>
      </c>
      <c r="H79" s="112" t="n"/>
      <c r="I79" s="121">
        <f>D79/C79</f>
        <v/>
      </c>
      <c r="J79" s="112" t="n"/>
    </row>
    <row r="80" ht="16.9" customHeight="1" s="169">
      <c r="A80" s="89" t="inlineStr">
        <is>
          <t>건물</t>
        </is>
      </c>
      <c r="B80" s="101" t="n">
        <v>84.11</v>
      </c>
      <c r="C80" s="101">
        <f>B80*0.3025</f>
        <v/>
      </c>
      <c r="D80" s="121" t="n">
        <v>95800000</v>
      </c>
      <c r="E80" s="112" t="n"/>
      <c r="F80" s="263">
        <f>IFERROR(D80/$D$81,0)</f>
        <v/>
      </c>
      <c r="G80" s="121">
        <f>D80/B80</f>
        <v/>
      </c>
      <c r="H80" s="112" t="n"/>
      <c r="I80" s="121">
        <f>D80/C80</f>
        <v/>
      </c>
      <c r="J80" s="112" t="n"/>
    </row>
    <row r="81" ht="16.9" customHeight="1" s="169">
      <c r="A81" s="57" t="inlineStr">
        <is>
          <t>합계</t>
        </is>
      </c>
      <c r="B81" s="58">
        <f>SUM(B79:B80)</f>
        <v/>
      </c>
      <c r="C81" s="58">
        <f>SUM(C79:C80)</f>
        <v/>
      </c>
      <c r="D81" s="158">
        <f>SUM(D79:E80)</f>
        <v/>
      </c>
      <c r="E81" s="159" t="n"/>
      <c r="F81" s="252">
        <f>SUM(F79:F80)</f>
        <v/>
      </c>
      <c r="G81" s="158">
        <f>D81/B81</f>
        <v/>
      </c>
      <c r="H81" s="159" t="n"/>
      <c r="I81" s="142">
        <f>D81/C81</f>
        <v/>
      </c>
      <c r="J81" s="143" t="n"/>
    </row>
    <row r="82" ht="16.9" customHeight="1" s="169">
      <c r="A82" s="178" t="inlineStr">
        <is>
          <t>401호</t>
        </is>
      </c>
      <c r="B82" s="179" t="inlineStr">
        <is>
          <t>면적</t>
        </is>
      </c>
      <c r="C82" s="123" t="n"/>
      <c r="D82" s="179" t="inlineStr">
        <is>
          <t>감정가(법사가)</t>
        </is>
      </c>
      <c r="E82" s="181" t="n"/>
      <c r="F82" s="179" t="inlineStr">
        <is>
          <t>비율</t>
        </is>
      </c>
      <c r="G82" s="179" t="inlineStr">
        <is>
          <t>㎡당금액</t>
        </is>
      </c>
      <c r="H82" s="181" t="n"/>
      <c r="I82" s="184" t="inlineStr">
        <is>
          <t>평당금액</t>
        </is>
      </c>
      <c r="J82" s="183" t="n"/>
    </row>
    <row r="83" ht="16.9" customHeight="1" s="169">
      <c r="A83" s="161" t="n"/>
      <c r="B83" s="100" t="inlineStr">
        <is>
          <t>(㎡)</t>
        </is>
      </c>
      <c r="C83" s="100" t="inlineStr">
        <is>
          <t>(평)</t>
        </is>
      </c>
      <c r="D83" s="130" t="n"/>
      <c r="E83" s="152" t="n"/>
      <c r="F83" s="116" t="n"/>
      <c r="G83" s="130" t="n"/>
      <c r="H83" s="152" t="n"/>
      <c r="I83" s="130" t="n"/>
      <c r="J83" s="131" t="n"/>
    </row>
    <row r="84" ht="16.9" customHeight="1" s="169">
      <c r="A84" s="89" t="inlineStr">
        <is>
          <t>토지</t>
        </is>
      </c>
      <c r="B84" s="101" t="n">
        <v>6.1676</v>
      </c>
      <c r="C84" s="101">
        <f>B84*0.3025</f>
        <v/>
      </c>
      <c r="D84" s="121" t="n">
        <v>88800000</v>
      </c>
      <c r="E84" s="112" t="n"/>
      <c r="F84" s="263">
        <f>IFERROR(D84/$D$86,0)</f>
        <v/>
      </c>
      <c r="G84" s="121">
        <f>D84/B84</f>
        <v/>
      </c>
      <c r="H84" s="112" t="n"/>
      <c r="I84" s="121">
        <f>D84/C84</f>
        <v/>
      </c>
      <c r="J84" s="112" t="n"/>
    </row>
    <row r="85" ht="16.9" customHeight="1" s="169">
      <c r="A85" s="89" t="inlineStr">
        <is>
          <t>건물</t>
        </is>
      </c>
      <c r="B85" s="101" t="n">
        <v>20.84</v>
      </c>
      <c r="C85" s="101">
        <f>B85*0.3025</f>
        <v/>
      </c>
      <c r="D85" s="121" t="n">
        <v>22200000</v>
      </c>
      <c r="E85" s="112" t="n"/>
      <c r="F85" s="263">
        <f>IFERROR(D85/$D$86,0)</f>
        <v/>
      </c>
      <c r="G85" s="121">
        <f>D85/B85</f>
        <v/>
      </c>
      <c r="H85" s="112" t="n"/>
      <c r="I85" s="121">
        <f>D85/C85</f>
        <v/>
      </c>
      <c r="J85" s="112" t="n"/>
    </row>
    <row r="86" ht="16.9" customHeight="1" s="169">
      <c r="A86" s="57" t="inlineStr">
        <is>
          <t>합계</t>
        </is>
      </c>
      <c r="B86" s="58">
        <f>SUM(B84:B85)</f>
        <v/>
      </c>
      <c r="C86" s="58">
        <f>SUM(C84:C85)</f>
        <v/>
      </c>
      <c r="D86" s="158">
        <f>SUM(D84:E85)</f>
        <v/>
      </c>
      <c r="E86" s="159" t="n"/>
      <c r="F86" s="252">
        <f>SUM(F84:F85)</f>
        <v/>
      </c>
      <c r="G86" s="158">
        <f>D86/B86</f>
        <v/>
      </c>
      <c r="H86" s="159" t="n"/>
      <c r="I86" s="142">
        <f>D86/C86</f>
        <v/>
      </c>
      <c r="J86" s="143" t="n"/>
    </row>
    <row r="87" ht="16.9" customHeight="1" s="169">
      <c r="A87" s="178" t="inlineStr">
        <is>
          <t>402호</t>
        </is>
      </c>
      <c r="B87" s="179" t="inlineStr">
        <is>
          <t>면적</t>
        </is>
      </c>
      <c r="C87" s="123" t="n"/>
      <c r="D87" s="179" t="inlineStr">
        <is>
          <t>감정가(법사가)</t>
        </is>
      </c>
      <c r="E87" s="181" t="n"/>
      <c r="F87" s="179" t="inlineStr">
        <is>
          <t>비율</t>
        </is>
      </c>
      <c r="G87" s="179" t="inlineStr">
        <is>
          <t>㎡당금액</t>
        </is>
      </c>
      <c r="H87" s="181" t="n"/>
      <c r="I87" s="184" t="inlineStr">
        <is>
          <t>평당금액</t>
        </is>
      </c>
      <c r="J87" s="183" t="n"/>
    </row>
    <row r="88" ht="16.9" customHeight="1" s="169">
      <c r="A88" s="161" t="n"/>
      <c r="B88" s="100" t="inlineStr">
        <is>
          <t>(㎡)</t>
        </is>
      </c>
      <c r="C88" s="100" t="inlineStr">
        <is>
          <t>(평)</t>
        </is>
      </c>
      <c r="D88" s="130" t="n"/>
      <c r="E88" s="152" t="n"/>
      <c r="F88" s="116" t="n"/>
      <c r="G88" s="130" t="n"/>
      <c r="H88" s="152" t="n"/>
      <c r="I88" s="130" t="n"/>
      <c r="J88" s="131" t="n"/>
    </row>
    <row r="89" ht="16.9" customHeight="1" s="169">
      <c r="A89" s="89" t="inlineStr">
        <is>
          <t>토지</t>
        </is>
      </c>
      <c r="B89" s="101" t="n">
        <v>5.4218</v>
      </c>
      <c r="C89" s="101">
        <f>B89*0.3025</f>
        <v/>
      </c>
      <c r="D89" s="121" t="n">
        <v>77600000</v>
      </c>
      <c r="E89" s="112" t="n"/>
      <c r="F89" s="263">
        <f>IFERROR(D89/$D$91,0)</f>
        <v/>
      </c>
      <c r="G89" s="121">
        <f>D89/B89</f>
        <v/>
      </c>
      <c r="H89" s="112" t="n"/>
      <c r="I89" s="121">
        <f>D89/C89</f>
        <v/>
      </c>
      <c r="J89" s="112" t="n"/>
    </row>
    <row r="90" ht="16.9" customHeight="1" s="169">
      <c r="A90" s="89" t="inlineStr">
        <is>
          <t>건물</t>
        </is>
      </c>
      <c r="B90" s="101" t="n">
        <v>18.32</v>
      </c>
      <c r="C90" s="101">
        <f>B90*0.3025</f>
        <v/>
      </c>
      <c r="D90" s="121" t="n">
        <v>19400000</v>
      </c>
      <c r="E90" s="112" t="n"/>
      <c r="F90" s="263">
        <f>IFERROR(D90/$D$91,0)</f>
        <v/>
      </c>
      <c r="G90" s="121">
        <f>D90/B90</f>
        <v/>
      </c>
      <c r="H90" s="112" t="n"/>
      <c r="I90" s="121">
        <f>D90/C90</f>
        <v/>
      </c>
      <c r="J90" s="112" t="n"/>
    </row>
    <row r="91" ht="16.9" customHeight="1" s="169">
      <c r="A91" s="57" t="inlineStr">
        <is>
          <t>합계</t>
        </is>
      </c>
      <c r="B91" s="58">
        <f>SUM(B89:B90)</f>
        <v/>
      </c>
      <c r="C91" s="58">
        <f>SUM(C89:C90)</f>
        <v/>
      </c>
      <c r="D91" s="158">
        <f>SUM(D89:E90)</f>
        <v/>
      </c>
      <c r="E91" s="159" t="n"/>
      <c r="F91" s="252">
        <f>SUM(F89:F90)</f>
        <v/>
      </c>
      <c r="G91" s="158">
        <f>D91/B91</f>
        <v/>
      </c>
      <c r="H91" s="159" t="n"/>
      <c r="I91" s="142">
        <f>D91/C91</f>
        <v/>
      </c>
      <c r="J91" s="143" t="n"/>
    </row>
    <row r="92" ht="16.9" customHeight="1" s="169">
      <c r="A92" s="178" t="inlineStr">
        <is>
          <t>403호</t>
        </is>
      </c>
      <c r="B92" s="179" t="inlineStr">
        <is>
          <t>면적</t>
        </is>
      </c>
      <c r="C92" s="123" t="n"/>
      <c r="D92" s="179" t="inlineStr">
        <is>
          <t>감정가(법사가)</t>
        </is>
      </c>
      <c r="E92" s="181" t="n"/>
      <c r="F92" s="179" t="inlineStr">
        <is>
          <t>비율</t>
        </is>
      </c>
      <c r="G92" s="179" t="inlineStr">
        <is>
          <t>㎡당금액</t>
        </is>
      </c>
      <c r="H92" s="181" t="n"/>
      <c r="I92" s="184" t="inlineStr">
        <is>
          <t>평당금액</t>
        </is>
      </c>
      <c r="J92" s="183" t="n"/>
    </row>
    <row r="93" ht="16.9" customHeight="1" s="169">
      <c r="A93" s="161" t="n"/>
      <c r="B93" s="100" t="inlineStr">
        <is>
          <t>(㎡)</t>
        </is>
      </c>
      <c r="C93" s="100" t="inlineStr">
        <is>
          <t>(평)</t>
        </is>
      </c>
      <c r="D93" s="130" t="n"/>
      <c r="E93" s="152" t="n"/>
      <c r="F93" s="116" t="n"/>
      <c r="G93" s="130" t="n"/>
      <c r="H93" s="152" t="n"/>
      <c r="I93" s="130" t="n"/>
      <c r="J93" s="131" t="n"/>
    </row>
    <row r="94" ht="16.9" customHeight="1" s="169">
      <c r="A94" s="89" t="inlineStr">
        <is>
          <t>토지</t>
        </is>
      </c>
      <c r="B94" s="101" t="n">
        <v>5.5017</v>
      </c>
      <c r="C94" s="101">
        <f>B94*0.3025</f>
        <v/>
      </c>
      <c r="D94" s="121" t="n">
        <v>79200000</v>
      </c>
      <c r="E94" s="112" t="n"/>
      <c r="F94" s="263">
        <f>IFERROR(D94/$D$96,0)</f>
        <v/>
      </c>
      <c r="G94" s="121">
        <f>D94/B94</f>
        <v/>
      </c>
      <c r="H94" s="112" t="n"/>
      <c r="I94" s="121">
        <f>D94/C94</f>
        <v/>
      </c>
      <c r="J94" s="112" t="n"/>
    </row>
    <row r="95" ht="16.9" customHeight="1" s="169">
      <c r="A95" s="89" t="inlineStr">
        <is>
          <t>건물</t>
        </is>
      </c>
      <c r="B95" s="101" t="n">
        <v>18.59</v>
      </c>
      <c r="C95" s="101">
        <f>B95*0.3025</f>
        <v/>
      </c>
      <c r="D95" s="121" t="n">
        <v>19800000</v>
      </c>
      <c r="E95" s="112" t="n"/>
      <c r="F95" s="263">
        <f>IFERROR(D95/$D$96,0)</f>
        <v/>
      </c>
      <c r="G95" s="121">
        <f>D95/B95</f>
        <v/>
      </c>
      <c r="H95" s="112" t="n"/>
      <c r="I95" s="121">
        <f>D95/C95</f>
        <v/>
      </c>
      <c r="J95" s="112" t="n"/>
    </row>
    <row r="96" ht="16.9" customHeight="1" s="169">
      <c r="A96" s="57" t="inlineStr">
        <is>
          <t>합계</t>
        </is>
      </c>
      <c r="B96" s="58">
        <f>SUM(B94:B95)</f>
        <v/>
      </c>
      <c r="C96" s="58">
        <f>SUM(C94:C95)</f>
        <v/>
      </c>
      <c r="D96" s="158">
        <f>SUM(D94:E95)</f>
        <v/>
      </c>
      <c r="E96" s="159" t="n"/>
      <c r="F96" s="252">
        <f>SUM(F94:F95)</f>
        <v/>
      </c>
      <c r="G96" s="158">
        <f>D96/B96</f>
        <v/>
      </c>
      <c r="H96" s="159" t="n"/>
      <c r="I96" s="142">
        <f>D96/C96</f>
        <v/>
      </c>
      <c r="J96" s="143" t="n"/>
    </row>
    <row r="97" ht="16.9" customHeight="1" s="169">
      <c r="A97" s="178" t="inlineStr">
        <is>
          <t>404호</t>
        </is>
      </c>
      <c r="B97" s="179" t="inlineStr">
        <is>
          <t>면적</t>
        </is>
      </c>
      <c r="C97" s="123" t="n"/>
      <c r="D97" s="179" t="inlineStr">
        <is>
          <t>감정가(법사가)</t>
        </is>
      </c>
      <c r="E97" s="181" t="n"/>
      <c r="F97" s="179" t="inlineStr">
        <is>
          <t>비율</t>
        </is>
      </c>
      <c r="G97" s="179" t="inlineStr">
        <is>
          <t>㎡당금액</t>
        </is>
      </c>
      <c r="H97" s="181" t="n"/>
      <c r="I97" s="184" t="inlineStr">
        <is>
          <t>평당금액</t>
        </is>
      </c>
      <c r="J97" s="183" t="n"/>
    </row>
    <row r="98" ht="16.9" customHeight="1" s="169">
      <c r="A98" s="161" t="n"/>
      <c r="B98" s="100" t="inlineStr">
        <is>
          <t>(㎡)</t>
        </is>
      </c>
      <c r="C98" s="100" t="inlineStr">
        <is>
          <t>(평)</t>
        </is>
      </c>
      <c r="D98" s="130" t="n"/>
      <c r="E98" s="152" t="n"/>
      <c r="F98" s="116" t="n"/>
      <c r="G98" s="130" t="n"/>
      <c r="H98" s="152" t="n"/>
      <c r="I98" s="130" t="n"/>
      <c r="J98" s="131" t="n"/>
    </row>
    <row r="99" ht="16.9" customHeight="1" s="169">
      <c r="A99" s="89" t="inlineStr">
        <is>
          <t>토지</t>
        </is>
      </c>
      <c r="B99" s="101" t="n">
        <v>5.7355</v>
      </c>
      <c r="C99" s="101">
        <f>B99*0.3025</f>
        <v/>
      </c>
      <c r="D99" s="121" t="n">
        <v>82400000</v>
      </c>
      <c r="E99" s="112" t="n"/>
      <c r="F99" s="263">
        <f>IFERROR(D99/$D$101,0)</f>
        <v/>
      </c>
      <c r="G99" s="121">
        <f>D99/B99</f>
        <v/>
      </c>
      <c r="H99" s="112" t="n"/>
      <c r="I99" s="121">
        <f>D99/C99</f>
        <v/>
      </c>
      <c r="J99" s="112" t="n"/>
    </row>
    <row r="100" ht="16.9" customHeight="1" s="169">
      <c r="A100" s="89" t="inlineStr">
        <is>
          <t>건물</t>
        </is>
      </c>
      <c r="B100" s="101" t="n">
        <v>19.38</v>
      </c>
      <c r="C100" s="101">
        <f>B100*0.3025</f>
        <v/>
      </c>
      <c r="D100" s="121" t="n">
        <v>20600000</v>
      </c>
      <c r="E100" s="112" t="n"/>
      <c r="F100" s="263">
        <f>IFERROR(D100/$D$101,0)</f>
        <v/>
      </c>
      <c r="G100" s="121">
        <f>D100/B100</f>
        <v/>
      </c>
      <c r="H100" s="112" t="n"/>
      <c r="I100" s="121">
        <f>D100/C100</f>
        <v/>
      </c>
      <c r="J100" s="112" t="n"/>
    </row>
    <row r="101" ht="16.9" customHeight="1" s="169">
      <c r="A101" s="57" t="inlineStr">
        <is>
          <t>합계</t>
        </is>
      </c>
      <c r="B101" s="58">
        <f>SUM(B99:B100)</f>
        <v/>
      </c>
      <c r="C101" s="58">
        <f>SUM(C99:C100)</f>
        <v/>
      </c>
      <c r="D101" s="158">
        <f>SUM(D99:E100)</f>
        <v/>
      </c>
      <c r="E101" s="159" t="n"/>
      <c r="F101" s="252">
        <f>SUM(F99:F100)</f>
        <v/>
      </c>
      <c r="G101" s="158">
        <f>D101/B101</f>
        <v/>
      </c>
      <c r="H101" s="159" t="n"/>
      <c r="I101" s="142">
        <f>D101/C101</f>
        <v/>
      </c>
      <c r="J101" s="143" t="n"/>
    </row>
    <row r="102" ht="16.9" customHeight="1" s="169">
      <c r="A102" s="178" t="inlineStr">
        <is>
          <t>405호</t>
        </is>
      </c>
      <c r="B102" s="179" t="inlineStr">
        <is>
          <t>면적</t>
        </is>
      </c>
      <c r="C102" s="123" t="n"/>
      <c r="D102" s="179" t="inlineStr">
        <is>
          <t>감정가(법사가)</t>
        </is>
      </c>
      <c r="E102" s="181" t="n"/>
      <c r="F102" s="179" t="inlineStr">
        <is>
          <t>비율</t>
        </is>
      </c>
      <c r="G102" s="179" t="inlineStr">
        <is>
          <t>㎡당금액</t>
        </is>
      </c>
      <c r="H102" s="181" t="n"/>
      <c r="I102" s="184" t="inlineStr">
        <is>
          <t>평당금액</t>
        </is>
      </c>
      <c r="J102" s="183" t="n"/>
    </row>
    <row r="103" ht="16.9" customHeight="1" s="169">
      <c r="A103" s="161" t="n"/>
      <c r="B103" s="100" t="inlineStr">
        <is>
          <t>(㎡)</t>
        </is>
      </c>
      <c r="C103" s="100" t="inlineStr">
        <is>
          <t>(평)</t>
        </is>
      </c>
      <c r="D103" s="130" t="n"/>
      <c r="E103" s="152" t="n"/>
      <c r="F103" s="116" t="n"/>
      <c r="G103" s="130" t="n"/>
      <c r="H103" s="152" t="n"/>
      <c r="I103" s="130" t="n"/>
      <c r="J103" s="131" t="n"/>
    </row>
    <row r="104" ht="16.9" customHeight="1" s="169">
      <c r="A104" s="89" t="inlineStr">
        <is>
          <t>토지</t>
        </is>
      </c>
      <c r="B104" s="101" t="n">
        <v>6.0818</v>
      </c>
      <c r="C104" s="101">
        <f>B104*0.3025</f>
        <v/>
      </c>
      <c r="D104" s="121" t="n">
        <v>87200000</v>
      </c>
      <c r="E104" s="112" t="n"/>
      <c r="F104" s="263">
        <f>IFERROR(D104/$D$106,0)</f>
        <v/>
      </c>
      <c r="G104" s="121">
        <f>D104/B104</f>
        <v/>
      </c>
      <c r="H104" s="112" t="n"/>
      <c r="I104" s="121">
        <f>D104/C104</f>
        <v/>
      </c>
      <c r="J104" s="112" t="n"/>
    </row>
    <row r="105" ht="16.9" customHeight="1" s="169">
      <c r="A105" s="89" t="inlineStr">
        <is>
          <t>건물</t>
        </is>
      </c>
      <c r="B105" s="101" t="n">
        <v>20.55</v>
      </c>
      <c r="C105" s="101">
        <f>B105*0.3025</f>
        <v/>
      </c>
      <c r="D105" s="121" t="n">
        <v>21800000</v>
      </c>
      <c r="E105" s="112" t="n"/>
      <c r="F105" s="263">
        <f>IFERROR(D105/$D$106,0)</f>
        <v/>
      </c>
      <c r="G105" s="121">
        <f>D105/B105</f>
        <v/>
      </c>
      <c r="H105" s="112" t="n"/>
      <c r="I105" s="121">
        <f>D105/C105</f>
        <v/>
      </c>
      <c r="J105" s="112" t="n"/>
    </row>
    <row r="106" ht="16.9" customHeight="1" s="169">
      <c r="A106" s="57" t="inlineStr">
        <is>
          <t>합계</t>
        </is>
      </c>
      <c r="B106" s="58">
        <f>SUM(B104:B105)</f>
        <v/>
      </c>
      <c r="C106" s="58">
        <f>SUM(C104:C105)</f>
        <v/>
      </c>
      <c r="D106" s="158">
        <f>SUM(D104:E105)</f>
        <v/>
      </c>
      <c r="E106" s="159" t="n"/>
      <c r="F106" s="252">
        <f>SUM(F104:F105)</f>
        <v/>
      </c>
      <c r="G106" s="158">
        <f>D106/B106</f>
        <v/>
      </c>
      <c r="H106" s="159" t="n"/>
      <c r="I106" s="142">
        <f>D106/C106</f>
        <v/>
      </c>
      <c r="J106" s="143" t="n"/>
    </row>
    <row r="107" ht="16.9" customHeight="1" s="169">
      <c r="A107" s="178" t="inlineStr">
        <is>
          <t>406호</t>
        </is>
      </c>
      <c r="B107" s="179" t="inlineStr">
        <is>
          <t>면적</t>
        </is>
      </c>
      <c r="C107" s="123" t="n"/>
      <c r="D107" s="179" t="inlineStr">
        <is>
          <t>감정가(법사가)</t>
        </is>
      </c>
      <c r="E107" s="181" t="n"/>
      <c r="F107" s="179" t="inlineStr">
        <is>
          <t>비율</t>
        </is>
      </c>
      <c r="G107" s="179" t="inlineStr">
        <is>
          <t>㎡당금액</t>
        </is>
      </c>
      <c r="H107" s="181" t="n"/>
      <c r="I107" s="184" t="inlineStr">
        <is>
          <t>평당금액</t>
        </is>
      </c>
      <c r="J107" s="183" t="n"/>
    </row>
    <row r="108" ht="16.9" customHeight="1" s="169">
      <c r="A108" s="161" t="n"/>
      <c r="B108" s="100" t="inlineStr">
        <is>
          <t>(㎡)</t>
        </is>
      </c>
      <c r="C108" s="100" t="inlineStr">
        <is>
          <t>(평)</t>
        </is>
      </c>
      <c r="D108" s="130" t="n"/>
      <c r="E108" s="152" t="n"/>
      <c r="F108" s="116" t="n"/>
      <c r="G108" s="130" t="n"/>
      <c r="H108" s="152" t="n"/>
      <c r="I108" s="130" t="n"/>
      <c r="J108" s="131" t="n"/>
    </row>
    <row r="109" ht="16.9" customHeight="1" s="169">
      <c r="A109" s="89" t="inlineStr">
        <is>
          <t>토지</t>
        </is>
      </c>
      <c r="B109" s="101" t="n">
        <v>6.0818</v>
      </c>
      <c r="C109" s="101">
        <f>B109*0.3025</f>
        <v/>
      </c>
      <c r="D109" s="121" t="n">
        <v>87200000</v>
      </c>
      <c r="E109" s="112" t="n"/>
      <c r="F109" s="263">
        <f>IFERROR(D109/$D$111,0)</f>
        <v/>
      </c>
      <c r="G109" s="121">
        <f>D109/B109</f>
        <v/>
      </c>
      <c r="H109" s="112" t="n"/>
      <c r="I109" s="121">
        <f>D109/C109</f>
        <v/>
      </c>
      <c r="J109" s="112" t="n"/>
    </row>
    <row r="110" ht="16.9" customHeight="1" s="169">
      <c r="A110" s="89" t="inlineStr">
        <is>
          <t>건물</t>
        </is>
      </c>
      <c r="B110" s="101" t="n">
        <v>20.55</v>
      </c>
      <c r="C110" s="101">
        <f>B110*0.3025</f>
        <v/>
      </c>
      <c r="D110" s="121" t="n">
        <v>21800000</v>
      </c>
      <c r="E110" s="112" t="n"/>
      <c r="F110" s="263">
        <f>IFERROR(D110/$D$111,0)</f>
        <v/>
      </c>
      <c r="G110" s="121">
        <f>D110/B110</f>
        <v/>
      </c>
      <c r="H110" s="112" t="n"/>
      <c r="I110" s="121">
        <f>D110/C110</f>
        <v/>
      </c>
      <c r="J110" s="112" t="n"/>
    </row>
    <row r="111" ht="16.9" customHeight="1" s="169">
      <c r="A111" s="57" t="inlineStr">
        <is>
          <t>합계</t>
        </is>
      </c>
      <c r="B111" s="58">
        <f>SUM(B109:B110)</f>
        <v/>
      </c>
      <c r="C111" s="58">
        <f>SUM(C109:C110)</f>
        <v/>
      </c>
      <c r="D111" s="158">
        <f>SUM(D109:E110)</f>
        <v/>
      </c>
      <c r="E111" s="159" t="n"/>
      <c r="F111" s="252">
        <f>SUM(F109:F110)</f>
        <v/>
      </c>
      <c r="G111" s="158">
        <f>D111/B111</f>
        <v/>
      </c>
      <c r="H111" s="159" t="n"/>
      <c r="I111" s="142">
        <f>D111/C111</f>
        <v/>
      </c>
      <c r="J111" s="143" t="n"/>
    </row>
    <row r="112" ht="16.9" customHeight="1" s="169">
      <c r="A112" s="178" t="inlineStr">
        <is>
          <t>407호</t>
        </is>
      </c>
      <c r="B112" s="179" t="inlineStr">
        <is>
          <t>면적</t>
        </is>
      </c>
      <c r="C112" s="123" t="n"/>
      <c r="D112" s="179" t="inlineStr">
        <is>
          <t>감정가(법사가)</t>
        </is>
      </c>
      <c r="E112" s="181" t="n"/>
      <c r="F112" s="179" t="inlineStr">
        <is>
          <t>비율</t>
        </is>
      </c>
      <c r="G112" s="179" t="inlineStr">
        <is>
          <t>㎡당금액</t>
        </is>
      </c>
      <c r="H112" s="181" t="n"/>
      <c r="I112" s="184" t="inlineStr">
        <is>
          <t>평당금액</t>
        </is>
      </c>
      <c r="J112" s="183" t="n"/>
    </row>
    <row r="113" ht="16.9" customHeight="1" s="169">
      <c r="A113" s="161" t="n"/>
      <c r="B113" s="100" t="inlineStr">
        <is>
          <t>(㎡)</t>
        </is>
      </c>
      <c r="C113" s="100" t="inlineStr">
        <is>
          <t>(평)</t>
        </is>
      </c>
      <c r="D113" s="130" t="n"/>
      <c r="E113" s="152" t="n"/>
      <c r="F113" s="116" t="n"/>
      <c r="G113" s="130" t="n"/>
      <c r="H113" s="152" t="n"/>
      <c r="I113" s="130" t="n"/>
      <c r="J113" s="131" t="n"/>
    </row>
    <row r="114" ht="16.9" customHeight="1" s="169">
      <c r="A114" s="89" t="inlineStr">
        <is>
          <t>토지</t>
        </is>
      </c>
      <c r="B114" s="101" t="n">
        <v>5.3892</v>
      </c>
      <c r="C114" s="101">
        <f>B114*0.3025</f>
        <v/>
      </c>
      <c r="D114" s="121" t="n">
        <v>77600000</v>
      </c>
      <c r="E114" s="112" t="n"/>
      <c r="F114" s="263">
        <f>IFERROR(D114/$D$116,0)</f>
        <v/>
      </c>
      <c r="G114" s="121">
        <f>D114/B114</f>
        <v/>
      </c>
      <c r="H114" s="112" t="n"/>
      <c r="I114" s="121">
        <f>D114/C114</f>
        <v/>
      </c>
      <c r="J114" s="112" t="n"/>
    </row>
    <row r="115" ht="16.9" customHeight="1" s="169">
      <c r="A115" s="89" t="inlineStr">
        <is>
          <t>건물</t>
        </is>
      </c>
      <c r="B115" s="101" t="n">
        <v>18.21</v>
      </c>
      <c r="C115" s="101">
        <f>B115*0.3025</f>
        <v/>
      </c>
      <c r="D115" s="121" t="n">
        <v>19400000</v>
      </c>
      <c r="E115" s="112" t="n"/>
      <c r="F115" s="263">
        <f>IFERROR(D115/$D$116,0)</f>
        <v/>
      </c>
      <c r="G115" s="121">
        <f>D115/B115</f>
        <v/>
      </c>
      <c r="H115" s="112" t="n"/>
      <c r="I115" s="121">
        <f>D115/C115</f>
        <v/>
      </c>
      <c r="J115" s="112" t="n"/>
    </row>
    <row r="116" ht="16.9" customHeight="1" s="169">
      <c r="A116" s="57" t="inlineStr">
        <is>
          <t>합계</t>
        </is>
      </c>
      <c r="B116" s="58">
        <f>SUM(B114:B115)</f>
        <v/>
      </c>
      <c r="C116" s="58">
        <f>SUM(C114:C115)</f>
        <v/>
      </c>
      <c r="D116" s="158">
        <f>SUM(D114:E115)</f>
        <v/>
      </c>
      <c r="E116" s="159" t="n"/>
      <c r="F116" s="252">
        <f>SUM(F114:F115)</f>
        <v/>
      </c>
      <c r="G116" s="158">
        <f>D116/B116</f>
        <v/>
      </c>
      <c r="H116" s="159" t="n"/>
      <c r="I116" s="142">
        <f>D116/C116</f>
        <v/>
      </c>
      <c r="J116" s="143" t="n"/>
    </row>
    <row r="117" ht="16.9" customHeight="1" s="169">
      <c r="A117" s="178" t="inlineStr">
        <is>
          <t>408호</t>
        </is>
      </c>
      <c r="B117" s="179" t="inlineStr">
        <is>
          <t>면적</t>
        </is>
      </c>
      <c r="C117" s="123" t="n"/>
      <c r="D117" s="179" t="inlineStr">
        <is>
          <t>감정가(법사가)</t>
        </is>
      </c>
      <c r="E117" s="181" t="n"/>
      <c r="F117" s="179" t="inlineStr">
        <is>
          <t>비율</t>
        </is>
      </c>
      <c r="G117" s="179" t="inlineStr">
        <is>
          <t>㎡당금액</t>
        </is>
      </c>
      <c r="H117" s="181" t="n"/>
      <c r="I117" s="184" t="inlineStr">
        <is>
          <t>평당금액</t>
        </is>
      </c>
      <c r="J117" s="183" t="n"/>
    </row>
    <row r="118" ht="16.9" customHeight="1" s="169">
      <c r="A118" s="161" t="n"/>
      <c r="B118" s="100" t="inlineStr">
        <is>
          <t>(㎡)</t>
        </is>
      </c>
      <c r="C118" s="100" t="inlineStr">
        <is>
          <t>(평)</t>
        </is>
      </c>
      <c r="D118" s="130" t="n"/>
      <c r="E118" s="152" t="n"/>
      <c r="F118" s="116" t="n"/>
      <c r="G118" s="130" t="n"/>
      <c r="H118" s="152" t="n"/>
      <c r="I118" s="130" t="n"/>
      <c r="J118" s="131" t="n"/>
    </row>
    <row r="119" ht="16.9" customHeight="1" s="169">
      <c r="A119" s="89" t="inlineStr">
        <is>
          <t>토지</t>
        </is>
      </c>
      <c r="B119" s="101" t="n">
        <v>4.8832</v>
      </c>
      <c r="C119" s="101">
        <f>B119*0.3025</f>
        <v/>
      </c>
      <c r="D119" s="121" t="n">
        <v>70400000</v>
      </c>
      <c r="E119" s="112" t="n"/>
      <c r="F119" s="263">
        <f>IFERROR(D119/$D$121,0)</f>
        <v/>
      </c>
      <c r="G119" s="121">
        <f>D119/B119</f>
        <v/>
      </c>
      <c r="H119" s="112" t="n"/>
      <c r="I119" s="121">
        <f>D119/C119</f>
        <v/>
      </c>
      <c r="J119" s="112" t="n"/>
    </row>
    <row r="120" ht="16.9" customHeight="1" s="169">
      <c r="A120" s="89" t="inlineStr">
        <is>
          <t>건물</t>
        </is>
      </c>
      <c r="B120" s="101" t="n">
        <v>16.5</v>
      </c>
      <c r="C120" s="101">
        <f>B120*0.3025</f>
        <v/>
      </c>
      <c r="D120" s="121" t="n">
        <v>17600000</v>
      </c>
      <c r="E120" s="112" t="n"/>
      <c r="F120" s="263">
        <f>IFERROR(D120/$D$121,0)</f>
        <v/>
      </c>
      <c r="G120" s="121">
        <f>D120/B120</f>
        <v/>
      </c>
      <c r="H120" s="112" t="n"/>
      <c r="I120" s="121">
        <f>D120/C120</f>
        <v/>
      </c>
      <c r="J120" s="112" t="n"/>
    </row>
    <row r="121" ht="16.9" customHeight="1" s="169">
      <c r="A121" s="57" t="inlineStr">
        <is>
          <t>합계</t>
        </is>
      </c>
      <c r="B121" s="58">
        <f>SUM(B119:B120)</f>
        <v/>
      </c>
      <c r="C121" s="58">
        <f>SUM(C119:C120)</f>
        <v/>
      </c>
      <c r="D121" s="158">
        <f>SUM(D119:E120)</f>
        <v/>
      </c>
      <c r="E121" s="159" t="n"/>
      <c r="F121" s="252">
        <f>SUM(F119:F120)</f>
        <v/>
      </c>
      <c r="G121" s="158">
        <f>D121/B121</f>
        <v/>
      </c>
      <c r="H121" s="159" t="n"/>
      <c r="I121" s="142">
        <f>D121/C121</f>
        <v/>
      </c>
      <c r="J121" s="143" t="n"/>
    </row>
    <row r="122" ht="16.9" customHeight="1" s="169">
      <c r="A122" s="178" t="inlineStr">
        <is>
          <t>409호</t>
        </is>
      </c>
      <c r="B122" s="179" t="inlineStr">
        <is>
          <t>면적</t>
        </is>
      </c>
      <c r="C122" s="123" t="n"/>
      <c r="D122" s="179" t="inlineStr">
        <is>
          <t>감정가(법사가)</t>
        </is>
      </c>
      <c r="E122" s="181" t="n"/>
      <c r="F122" s="179" t="inlineStr">
        <is>
          <t>비율</t>
        </is>
      </c>
      <c r="G122" s="179" t="inlineStr">
        <is>
          <t>㎡당금액</t>
        </is>
      </c>
      <c r="H122" s="181" t="n"/>
      <c r="I122" s="184" t="inlineStr">
        <is>
          <t>평당금액</t>
        </is>
      </c>
      <c r="J122" s="183" t="n"/>
    </row>
    <row r="123" ht="16.9" customHeight="1" s="169">
      <c r="A123" s="161" t="n"/>
      <c r="B123" s="100" t="inlineStr">
        <is>
          <t>(㎡)</t>
        </is>
      </c>
      <c r="C123" s="100" t="inlineStr">
        <is>
          <t>(평)</t>
        </is>
      </c>
      <c r="D123" s="130" t="n"/>
      <c r="E123" s="152" t="n"/>
      <c r="F123" s="116" t="n"/>
      <c r="G123" s="130" t="n"/>
      <c r="H123" s="152" t="n"/>
      <c r="I123" s="130" t="n"/>
      <c r="J123" s="131" t="n"/>
    </row>
    <row r="124" ht="16.9" customHeight="1" s="169">
      <c r="A124" s="89" t="inlineStr">
        <is>
          <t>토지</t>
        </is>
      </c>
      <c r="B124" s="101" t="n">
        <v>4.8832</v>
      </c>
      <c r="C124" s="101">
        <f>B124*0.3025</f>
        <v/>
      </c>
      <c r="D124" s="121" t="n">
        <v>70400000</v>
      </c>
      <c r="E124" s="112" t="n"/>
      <c r="F124" s="263">
        <f>IFERROR(D124/$D$126,0)</f>
        <v/>
      </c>
      <c r="G124" s="121">
        <f>D124/B124</f>
        <v/>
      </c>
      <c r="H124" s="112" t="n"/>
      <c r="I124" s="121">
        <f>D124/C124</f>
        <v/>
      </c>
      <c r="J124" s="112" t="n"/>
    </row>
    <row r="125" ht="16.9" customHeight="1" s="169">
      <c r="A125" s="89" t="inlineStr">
        <is>
          <t>건물</t>
        </is>
      </c>
      <c r="B125" s="101" t="n">
        <v>16.5</v>
      </c>
      <c r="C125" s="101">
        <f>B125*0.3025</f>
        <v/>
      </c>
      <c r="D125" s="121" t="n">
        <v>17600000</v>
      </c>
      <c r="E125" s="112" t="n"/>
      <c r="F125" s="263">
        <f>IFERROR(D125/$D$126,0)</f>
        <v/>
      </c>
      <c r="G125" s="121">
        <f>D125/B125</f>
        <v/>
      </c>
      <c r="H125" s="112" t="n"/>
      <c r="I125" s="121">
        <f>D125/C125</f>
        <v/>
      </c>
      <c r="J125" s="112" t="n"/>
    </row>
    <row r="126" ht="16.9" customHeight="1" s="169">
      <c r="A126" s="57" t="inlineStr">
        <is>
          <t>합계</t>
        </is>
      </c>
      <c r="B126" s="58">
        <f>SUM(B124:B125)</f>
        <v/>
      </c>
      <c r="C126" s="58">
        <f>SUM(C124:C125)</f>
        <v/>
      </c>
      <c r="D126" s="158">
        <f>SUM(D124:E125)</f>
        <v/>
      </c>
      <c r="E126" s="159" t="n"/>
      <c r="F126" s="252">
        <f>SUM(F124:F125)</f>
        <v/>
      </c>
      <c r="G126" s="158">
        <f>D126/B126</f>
        <v/>
      </c>
      <c r="H126" s="159" t="n"/>
      <c r="I126" s="142">
        <f>D126/C126</f>
        <v/>
      </c>
      <c r="J126" s="143" t="n"/>
    </row>
    <row r="127" ht="16.9" customHeight="1" s="169">
      <c r="A127" s="178" t="inlineStr">
        <is>
          <t>410호</t>
        </is>
      </c>
      <c r="B127" s="179" t="inlineStr">
        <is>
          <t>면적</t>
        </is>
      </c>
      <c r="C127" s="123" t="n"/>
      <c r="D127" s="179" t="inlineStr">
        <is>
          <t>감정가(법사가)</t>
        </is>
      </c>
      <c r="E127" s="181" t="n"/>
      <c r="F127" s="179" t="inlineStr">
        <is>
          <t>비율</t>
        </is>
      </c>
      <c r="G127" s="179" t="inlineStr">
        <is>
          <t>㎡당금액</t>
        </is>
      </c>
      <c r="H127" s="181" t="n"/>
      <c r="I127" s="184" t="inlineStr">
        <is>
          <t>평당금액</t>
        </is>
      </c>
      <c r="J127" s="183" t="n"/>
    </row>
    <row r="128" ht="16.9" customHeight="1" s="169">
      <c r="A128" s="161" t="n"/>
      <c r="B128" s="100" t="inlineStr">
        <is>
          <t>(㎡)</t>
        </is>
      </c>
      <c r="C128" s="100" t="inlineStr">
        <is>
          <t>(평)</t>
        </is>
      </c>
      <c r="D128" s="130" t="n"/>
      <c r="E128" s="152" t="n"/>
      <c r="F128" s="116" t="n"/>
      <c r="G128" s="130" t="n"/>
      <c r="H128" s="152" t="n"/>
      <c r="I128" s="130" t="n"/>
      <c r="J128" s="131" t="n"/>
    </row>
    <row r="129" ht="16.9" customHeight="1" s="169">
      <c r="A129" s="89" t="inlineStr">
        <is>
          <t>토지</t>
        </is>
      </c>
      <c r="B129" s="101" t="n">
        <v>8.0557</v>
      </c>
      <c r="C129" s="101">
        <f>B129*0.3025</f>
        <v/>
      </c>
      <c r="D129" s="121" t="n">
        <v>116000000</v>
      </c>
      <c r="E129" s="112" t="n"/>
      <c r="F129" s="263">
        <f>IFERROR(D129/$D$131,0)</f>
        <v/>
      </c>
      <c r="G129" s="121">
        <f>D129/B129</f>
        <v/>
      </c>
      <c r="H129" s="112" t="n"/>
      <c r="I129" s="121">
        <f>D129/C129</f>
        <v/>
      </c>
      <c r="J129" s="112" t="n"/>
    </row>
    <row r="130" ht="16.9" customHeight="1" s="169">
      <c r="A130" s="89" t="inlineStr">
        <is>
          <t>건물</t>
        </is>
      </c>
      <c r="B130" s="101" t="n">
        <v>27.22</v>
      </c>
      <c r="C130" s="101">
        <f>B130*0.3025</f>
        <v/>
      </c>
      <c r="D130" s="121" t="n">
        <v>29000000</v>
      </c>
      <c r="E130" s="112" t="n"/>
      <c r="F130" s="263">
        <f>IFERROR(D130/$D$131,0)</f>
        <v/>
      </c>
      <c r="G130" s="121">
        <f>D130/B130</f>
        <v/>
      </c>
      <c r="H130" s="112" t="n"/>
      <c r="I130" s="121">
        <f>D130/C130</f>
        <v/>
      </c>
      <c r="J130" s="112" t="n"/>
    </row>
    <row r="131" ht="16.9" customHeight="1" s="169">
      <c r="A131" s="57" t="inlineStr">
        <is>
          <t>합계</t>
        </is>
      </c>
      <c r="B131" s="58">
        <f>SUM(B129:B130)</f>
        <v/>
      </c>
      <c r="C131" s="58">
        <f>SUM(C129:C130)</f>
        <v/>
      </c>
      <c r="D131" s="158">
        <f>SUM(D129:E130)</f>
        <v/>
      </c>
      <c r="E131" s="159" t="n"/>
      <c r="F131" s="252">
        <f>SUM(F129:F130)</f>
        <v/>
      </c>
      <c r="G131" s="158">
        <f>D131/B131</f>
        <v/>
      </c>
      <c r="H131" s="159" t="n"/>
      <c r="I131" s="142">
        <f>D131/C131</f>
        <v/>
      </c>
      <c r="J131" s="143" t="n"/>
    </row>
    <row r="132" ht="16.9" customHeight="1" s="169">
      <c r="A132" s="178" t="inlineStr">
        <is>
          <t>411호</t>
        </is>
      </c>
      <c r="B132" s="179" t="inlineStr">
        <is>
          <t>면적</t>
        </is>
      </c>
      <c r="C132" s="123" t="n"/>
      <c r="D132" s="179" t="inlineStr">
        <is>
          <t>감정가(법사가)</t>
        </is>
      </c>
      <c r="E132" s="181" t="n"/>
      <c r="F132" s="179" t="inlineStr">
        <is>
          <t>비율</t>
        </is>
      </c>
      <c r="G132" s="179" t="inlineStr">
        <is>
          <t>㎡당금액</t>
        </is>
      </c>
      <c r="H132" s="181" t="n"/>
      <c r="I132" s="184" t="inlineStr">
        <is>
          <t>평당금액</t>
        </is>
      </c>
      <c r="J132" s="183" t="n"/>
    </row>
    <row r="133" ht="16.9" customHeight="1" s="169">
      <c r="A133" s="161" t="n"/>
      <c r="B133" s="100" t="inlineStr">
        <is>
          <t>(㎡)</t>
        </is>
      </c>
      <c r="C133" s="100" t="inlineStr">
        <is>
          <t>(평)</t>
        </is>
      </c>
      <c r="D133" s="130" t="n"/>
      <c r="E133" s="152" t="n"/>
      <c r="F133" s="116" t="n"/>
      <c r="G133" s="130" t="n"/>
      <c r="H133" s="152" t="n"/>
      <c r="I133" s="130" t="n"/>
      <c r="J133" s="131" t="n"/>
    </row>
    <row r="134" ht="16.9" customHeight="1" s="169">
      <c r="A134" s="89" t="inlineStr">
        <is>
          <t>토지</t>
        </is>
      </c>
      <c r="B134" s="101" t="n">
        <v>6.2179</v>
      </c>
      <c r="C134" s="101">
        <f>B134*0.3025</f>
        <v/>
      </c>
      <c r="D134" s="121" t="n">
        <v>89600000</v>
      </c>
      <c r="E134" s="112" t="n"/>
      <c r="F134" s="263">
        <f>IFERROR(D134/$D$136,0)</f>
        <v/>
      </c>
      <c r="G134" s="121">
        <f>D134/B134</f>
        <v/>
      </c>
      <c r="H134" s="112" t="n"/>
      <c r="I134" s="121">
        <f>D134/C134</f>
        <v/>
      </c>
      <c r="J134" s="112" t="n"/>
    </row>
    <row r="135" ht="16.9" customHeight="1" s="169">
      <c r="A135" s="89" t="inlineStr">
        <is>
          <t>건물</t>
        </is>
      </c>
      <c r="B135" s="101" t="n">
        <v>21.01</v>
      </c>
      <c r="C135" s="101">
        <f>B135*0.3025</f>
        <v/>
      </c>
      <c r="D135" s="121" t="n">
        <v>22400000</v>
      </c>
      <c r="E135" s="112" t="n"/>
      <c r="F135" s="263">
        <f>IFERROR(D135/$D$136,0)</f>
        <v/>
      </c>
      <c r="G135" s="121">
        <f>D135/B135</f>
        <v/>
      </c>
      <c r="H135" s="112" t="n"/>
      <c r="I135" s="121">
        <f>D135/C135</f>
        <v/>
      </c>
      <c r="J135" s="112" t="n"/>
    </row>
    <row r="136" ht="16.9" customHeight="1" s="169">
      <c r="A136" s="57" t="inlineStr">
        <is>
          <t>합계</t>
        </is>
      </c>
      <c r="B136" s="58">
        <f>SUM(B134:B135)</f>
        <v/>
      </c>
      <c r="C136" s="58">
        <f>SUM(C134:C135)</f>
        <v/>
      </c>
      <c r="D136" s="158">
        <f>SUM(D134:E135)</f>
        <v/>
      </c>
      <c r="E136" s="159" t="n"/>
      <c r="F136" s="252">
        <f>SUM(F134:F135)</f>
        <v/>
      </c>
      <c r="G136" s="158">
        <f>D136/B136</f>
        <v/>
      </c>
      <c r="H136" s="159" t="n"/>
      <c r="I136" s="142">
        <f>D136/C136</f>
        <v/>
      </c>
      <c r="J136" s="143" t="n"/>
    </row>
    <row r="137" ht="16.9" customHeight="1" s="169">
      <c r="A137" s="178" t="inlineStr">
        <is>
          <t>412호</t>
        </is>
      </c>
      <c r="B137" s="179" t="inlineStr">
        <is>
          <t>면적</t>
        </is>
      </c>
      <c r="C137" s="123" t="n"/>
      <c r="D137" s="179" t="inlineStr">
        <is>
          <t>감정가(법사가)</t>
        </is>
      </c>
      <c r="E137" s="181" t="n"/>
      <c r="F137" s="179" t="inlineStr">
        <is>
          <t>비율</t>
        </is>
      </c>
      <c r="G137" s="179" t="inlineStr">
        <is>
          <t>㎡당금액</t>
        </is>
      </c>
      <c r="H137" s="181" t="n"/>
      <c r="I137" s="184" t="inlineStr">
        <is>
          <t>평당금액</t>
        </is>
      </c>
      <c r="J137" s="183" t="n"/>
    </row>
    <row r="138" ht="16.9" customHeight="1" s="169">
      <c r="A138" s="161" t="n"/>
      <c r="B138" s="100" t="inlineStr">
        <is>
          <t>(㎡)</t>
        </is>
      </c>
      <c r="C138" s="100" t="inlineStr">
        <is>
          <t>(평)</t>
        </is>
      </c>
      <c r="D138" s="130" t="n"/>
      <c r="E138" s="152" t="n"/>
      <c r="F138" s="116" t="n"/>
      <c r="G138" s="130" t="n"/>
      <c r="H138" s="152" t="n"/>
      <c r="I138" s="130" t="n"/>
      <c r="J138" s="131" t="n"/>
    </row>
    <row r="139" ht="16.9" customHeight="1" s="169">
      <c r="A139" s="89" t="inlineStr">
        <is>
          <t>토지</t>
        </is>
      </c>
      <c r="B139" s="101" t="n">
        <v>99.3591</v>
      </c>
      <c r="C139" s="101">
        <f>B139*0.3025</f>
        <v/>
      </c>
      <c r="D139" s="121" t="n">
        <v>1256000000</v>
      </c>
      <c r="E139" s="112" t="n"/>
      <c r="F139" s="263">
        <f>IFERROR(D139/$D$141,0)</f>
        <v/>
      </c>
      <c r="G139" s="121">
        <f>D139/B139</f>
        <v/>
      </c>
      <c r="H139" s="112" t="n"/>
      <c r="I139" s="121">
        <f>D139/C139</f>
        <v/>
      </c>
      <c r="J139" s="112" t="n"/>
    </row>
    <row r="140" ht="16.9" customHeight="1" s="169">
      <c r="A140" s="89" t="inlineStr">
        <is>
          <t>건물</t>
        </is>
      </c>
      <c r="B140" s="101" t="n">
        <v>335.73</v>
      </c>
      <c r="C140" s="101">
        <f>B140*0.3025</f>
        <v/>
      </c>
      <c r="D140" s="121" t="n">
        <v>314000000</v>
      </c>
      <c r="E140" s="112" t="n"/>
      <c r="F140" s="263">
        <f>IFERROR(D140/$D$141,0)</f>
        <v/>
      </c>
      <c r="G140" s="121">
        <f>D140/B140</f>
        <v/>
      </c>
      <c r="H140" s="112" t="n"/>
      <c r="I140" s="121">
        <f>D140/C140</f>
        <v/>
      </c>
      <c r="J140" s="112" t="n"/>
    </row>
    <row r="141" ht="16.9" customHeight="1" s="169">
      <c r="A141" s="57" t="inlineStr">
        <is>
          <t>합계</t>
        </is>
      </c>
      <c r="B141" s="58">
        <f>SUM(B139:B140)</f>
        <v/>
      </c>
      <c r="C141" s="58">
        <f>SUM(C139:C140)</f>
        <v/>
      </c>
      <c r="D141" s="158">
        <f>SUM(D139:E140)</f>
        <v/>
      </c>
      <c r="E141" s="159" t="n"/>
      <c r="F141" s="252">
        <f>SUM(F139:F140)</f>
        <v/>
      </c>
      <c r="G141" s="158">
        <f>D141/B141</f>
        <v/>
      </c>
      <c r="H141" s="159" t="n"/>
      <c r="I141" s="142">
        <f>D141/C141</f>
        <v/>
      </c>
      <c r="J141" s="143" t="n"/>
    </row>
    <row r="142" ht="16.9" customHeight="1" s="169">
      <c r="A142" s="178" t="inlineStr">
        <is>
          <t>501호</t>
        </is>
      </c>
      <c r="B142" s="179" t="inlineStr">
        <is>
          <t>면적</t>
        </is>
      </c>
      <c r="C142" s="123" t="n"/>
      <c r="D142" s="179" t="inlineStr">
        <is>
          <t>감정가(법사가)</t>
        </is>
      </c>
      <c r="E142" s="181" t="n"/>
      <c r="F142" s="179" t="inlineStr">
        <is>
          <t>비율</t>
        </is>
      </c>
      <c r="G142" s="179" t="inlineStr">
        <is>
          <t>㎡당금액</t>
        </is>
      </c>
      <c r="H142" s="181" t="n"/>
      <c r="I142" s="184" t="inlineStr">
        <is>
          <t>평당금액</t>
        </is>
      </c>
      <c r="J142" s="183" t="n"/>
    </row>
    <row r="143" ht="16.9" customHeight="1" s="169">
      <c r="A143" s="161" t="n"/>
      <c r="B143" s="100" t="inlineStr">
        <is>
          <t>(㎡)</t>
        </is>
      </c>
      <c r="C143" s="100" t="inlineStr">
        <is>
          <t>(평)</t>
        </is>
      </c>
      <c r="D143" s="130" t="n"/>
      <c r="E143" s="152" t="n"/>
      <c r="F143" s="116" t="n"/>
      <c r="G143" s="130" t="n"/>
      <c r="H143" s="152" t="n"/>
      <c r="I143" s="130" t="n"/>
      <c r="J143" s="131" t="n"/>
    </row>
    <row r="144" ht="16.9" customHeight="1" s="169">
      <c r="A144" s="89" t="inlineStr">
        <is>
          <t>토지</t>
        </is>
      </c>
      <c r="B144" s="101" t="n">
        <v>123.6803</v>
      </c>
      <c r="C144" s="101">
        <f>B144*0.3025</f>
        <v/>
      </c>
      <c r="D144" s="121" t="n">
        <v>1568000000</v>
      </c>
      <c r="E144" s="112" t="n"/>
      <c r="F144" s="263">
        <f>IFERROR(D144/$D$146,0)</f>
        <v/>
      </c>
      <c r="G144" s="121">
        <f>D144/B144</f>
        <v/>
      </c>
      <c r="H144" s="112" t="n"/>
      <c r="I144" s="121">
        <f>D144/C144</f>
        <v/>
      </c>
      <c r="J144" s="112" t="n"/>
    </row>
    <row r="145" ht="16.9" customHeight="1" s="169">
      <c r="A145" s="89" t="inlineStr">
        <is>
          <t>건물</t>
        </is>
      </c>
      <c r="B145" s="101" t="n">
        <v>417.91</v>
      </c>
      <c r="C145" s="101">
        <f>B145*0.3025</f>
        <v/>
      </c>
      <c r="D145" s="121" t="n">
        <v>392000000</v>
      </c>
      <c r="E145" s="112" t="n"/>
      <c r="F145" s="263">
        <f>IFERROR(D145/$D$146,0)</f>
        <v/>
      </c>
      <c r="G145" s="121">
        <f>D145/B145</f>
        <v/>
      </c>
      <c r="H145" s="112" t="n"/>
      <c r="I145" s="121">
        <f>D145/C145</f>
        <v/>
      </c>
      <c r="J145" s="112" t="n"/>
    </row>
    <row r="146" ht="16.9" customHeight="1" s="169">
      <c r="A146" s="57" t="inlineStr">
        <is>
          <t>합계</t>
        </is>
      </c>
      <c r="B146" s="58">
        <f>SUM(B144:B145)</f>
        <v/>
      </c>
      <c r="C146" s="58">
        <f>SUM(C144:C145)</f>
        <v/>
      </c>
      <c r="D146" s="158">
        <f>SUM(D144:E145)</f>
        <v/>
      </c>
      <c r="E146" s="159" t="n"/>
      <c r="F146" s="252">
        <f>SUM(F144:F145)</f>
        <v/>
      </c>
      <c r="G146" s="158">
        <f>D146/B146</f>
        <v/>
      </c>
      <c r="H146" s="159" t="n"/>
      <c r="I146" s="142">
        <f>D146/C146</f>
        <v/>
      </c>
      <c r="J146" s="143" t="n"/>
    </row>
    <row r="147" ht="16.9" customHeight="1" s="169">
      <c r="A147" s="178" t="inlineStr">
        <is>
          <t>502호</t>
        </is>
      </c>
      <c r="B147" s="179" t="inlineStr">
        <is>
          <t>면적</t>
        </is>
      </c>
      <c r="C147" s="123" t="n"/>
      <c r="D147" s="179" t="inlineStr">
        <is>
          <t>감정가(법사가)</t>
        </is>
      </c>
      <c r="E147" s="181" t="n"/>
      <c r="F147" s="179" t="inlineStr">
        <is>
          <t>비율</t>
        </is>
      </c>
      <c r="G147" s="179" t="inlineStr">
        <is>
          <t>㎡당금액</t>
        </is>
      </c>
      <c r="H147" s="181" t="n"/>
      <c r="I147" s="184" t="inlineStr">
        <is>
          <t>평당금액</t>
        </is>
      </c>
      <c r="J147" s="183" t="n"/>
    </row>
    <row r="148" ht="16.9" customHeight="1" s="169">
      <c r="A148" s="161" t="n"/>
      <c r="B148" s="100" t="inlineStr">
        <is>
          <t>(㎡)</t>
        </is>
      </c>
      <c r="C148" s="100" t="inlineStr">
        <is>
          <t>(평)</t>
        </is>
      </c>
      <c r="D148" s="130" t="n"/>
      <c r="E148" s="152" t="n"/>
      <c r="F148" s="116" t="n"/>
      <c r="G148" s="130" t="n"/>
      <c r="H148" s="152" t="n"/>
      <c r="I148" s="130" t="n"/>
      <c r="J148" s="131" t="n"/>
    </row>
    <row r="149" ht="16.9" customHeight="1" s="169">
      <c r="A149" s="89" t="inlineStr">
        <is>
          <t>토지</t>
        </is>
      </c>
      <c r="B149" s="101" t="n">
        <v>69.196</v>
      </c>
      <c r="C149" s="101">
        <f>B149*0.3025</f>
        <v/>
      </c>
      <c r="D149" s="121" t="n">
        <v>880000000</v>
      </c>
      <c r="E149" s="112" t="n"/>
      <c r="F149" s="263">
        <f>IFERROR(D149/$D$151,0)</f>
        <v/>
      </c>
      <c r="G149" s="121">
        <f>D149/B149</f>
        <v/>
      </c>
      <c r="H149" s="112" t="n"/>
      <c r="I149" s="121">
        <f>D149/C149</f>
        <v/>
      </c>
      <c r="J149" s="112" t="n"/>
    </row>
    <row r="150" ht="16.9" customHeight="1" s="169">
      <c r="A150" s="89" t="inlineStr">
        <is>
          <t>건물</t>
        </is>
      </c>
      <c r="B150" s="101" t="n">
        <v>233.81</v>
      </c>
      <c r="C150" s="101">
        <f>B150*0.3025</f>
        <v/>
      </c>
      <c r="D150" s="121" t="n">
        <v>220000000</v>
      </c>
      <c r="E150" s="112" t="n"/>
      <c r="F150" s="263">
        <f>IFERROR(D150/$D$151,0)</f>
        <v/>
      </c>
      <c r="G150" s="121">
        <f>D150/B150</f>
        <v/>
      </c>
      <c r="H150" s="112" t="n"/>
      <c r="I150" s="121">
        <f>D150/C150</f>
        <v/>
      </c>
      <c r="J150" s="112" t="n"/>
    </row>
    <row r="151" ht="16.9" customHeight="1" s="169">
      <c r="A151" s="57" t="inlineStr">
        <is>
          <t>합계</t>
        </is>
      </c>
      <c r="B151" s="58">
        <f>SUM(B149:B150)</f>
        <v/>
      </c>
      <c r="C151" s="58">
        <f>SUM(C149:C150)</f>
        <v/>
      </c>
      <c r="D151" s="158">
        <f>SUM(D149:E150)</f>
        <v/>
      </c>
      <c r="E151" s="159" t="n"/>
      <c r="F151" s="252">
        <f>SUM(F149:F150)</f>
        <v/>
      </c>
      <c r="G151" s="158">
        <f>D151/B151</f>
        <v/>
      </c>
      <c r="H151" s="159" t="n"/>
      <c r="I151" s="142">
        <f>D151/C151</f>
        <v/>
      </c>
      <c r="J151" s="143" t="n"/>
    </row>
    <row r="152" ht="16.9" customHeight="1" s="169">
      <c r="A152" s="178" t="inlineStr">
        <is>
          <t>601호</t>
        </is>
      </c>
      <c r="B152" s="179" t="inlineStr">
        <is>
          <t>면적</t>
        </is>
      </c>
      <c r="C152" s="123" t="n"/>
      <c r="D152" s="179" t="inlineStr">
        <is>
          <t>감정가(법사가)</t>
        </is>
      </c>
      <c r="E152" s="181" t="n"/>
      <c r="F152" s="179" t="inlineStr">
        <is>
          <t>비율</t>
        </is>
      </c>
      <c r="G152" s="179" t="inlineStr">
        <is>
          <t>㎡당금액</t>
        </is>
      </c>
      <c r="H152" s="181" t="n"/>
      <c r="I152" s="184" t="inlineStr">
        <is>
          <t>평당금액</t>
        </is>
      </c>
      <c r="J152" s="183" t="n"/>
    </row>
    <row r="153" ht="16.9" customHeight="1" s="169">
      <c r="A153" s="161" t="n"/>
      <c r="B153" s="100" t="inlineStr">
        <is>
          <t>(㎡)</t>
        </is>
      </c>
      <c r="C153" s="100" t="inlineStr">
        <is>
          <t>(평)</t>
        </is>
      </c>
      <c r="D153" s="130" t="n"/>
      <c r="E153" s="152" t="n"/>
      <c r="F153" s="116" t="n"/>
      <c r="G153" s="130" t="n"/>
      <c r="H153" s="152" t="n"/>
      <c r="I153" s="130" t="n"/>
      <c r="J153" s="131" t="n"/>
    </row>
    <row r="154" ht="16.9" customHeight="1" s="169">
      <c r="A154" s="89" t="inlineStr">
        <is>
          <t>토지</t>
        </is>
      </c>
      <c r="B154" s="101" t="n">
        <v>113.1089</v>
      </c>
      <c r="C154" s="101">
        <f>B154*0.3025</f>
        <v/>
      </c>
      <c r="D154" s="121" t="n">
        <v>1432000000</v>
      </c>
      <c r="E154" s="112" t="n"/>
      <c r="F154" s="263">
        <f>IFERROR(D154/$D$156,0)</f>
        <v/>
      </c>
      <c r="G154" s="121">
        <f>D154/B154</f>
        <v/>
      </c>
      <c r="H154" s="112" t="n"/>
      <c r="I154" s="121">
        <f>D154/C154</f>
        <v/>
      </c>
      <c r="J154" s="112" t="n"/>
    </row>
    <row r="155" ht="16.9" customHeight="1" s="169">
      <c r="A155" s="89" t="inlineStr">
        <is>
          <t>건물</t>
        </is>
      </c>
      <c r="B155" s="101" t="n">
        <v>382.19</v>
      </c>
      <c r="C155" s="101">
        <f>B155*0.3025</f>
        <v/>
      </c>
      <c r="D155" s="121" t="n">
        <v>358000000</v>
      </c>
      <c r="E155" s="112" t="n"/>
      <c r="F155" s="263">
        <f>IFERROR(D155/$D$156,0)</f>
        <v/>
      </c>
      <c r="G155" s="121">
        <f>D155/B155</f>
        <v/>
      </c>
      <c r="H155" s="112" t="n"/>
      <c r="I155" s="121">
        <f>D155/C155</f>
        <v/>
      </c>
      <c r="J155" s="112" t="n"/>
    </row>
    <row r="156" ht="16.9" customHeight="1" s="169">
      <c r="A156" s="57" t="inlineStr">
        <is>
          <t>합계</t>
        </is>
      </c>
      <c r="B156" s="58">
        <f>SUM(B154:B155)</f>
        <v/>
      </c>
      <c r="C156" s="58">
        <f>SUM(C154:C155)</f>
        <v/>
      </c>
      <c r="D156" s="158">
        <f>SUM(D154:E155)</f>
        <v/>
      </c>
      <c r="E156" s="159" t="n"/>
      <c r="F156" s="252">
        <f>SUM(F154:F155)</f>
        <v/>
      </c>
      <c r="G156" s="158">
        <f>D156/B156</f>
        <v/>
      </c>
      <c r="H156" s="159" t="n"/>
      <c r="I156" s="142">
        <f>D156/C156</f>
        <v/>
      </c>
      <c r="J156" s="143" t="n"/>
    </row>
    <row r="157" ht="16.9" customHeight="1" s="169">
      <c r="A157" s="178" t="inlineStr">
        <is>
          <t>602호</t>
        </is>
      </c>
      <c r="B157" s="179" t="inlineStr">
        <is>
          <t>면적</t>
        </is>
      </c>
      <c r="C157" s="123" t="n"/>
      <c r="D157" s="179" t="inlineStr">
        <is>
          <t>감정가(법사가)</t>
        </is>
      </c>
      <c r="E157" s="181" t="n"/>
      <c r="F157" s="179" t="inlineStr">
        <is>
          <t>비율</t>
        </is>
      </c>
      <c r="G157" s="179" t="inlineStr">
        <is>
          <t>㎡당금액</t>
        </is>
      </c>
      <c r="H157" s="181" t="n"/>
      <c r="I157" s="184" t="inlineStr">
        <is>
          <t>평당금액</t>
        </is>
      </c>
      <c r="J157" s="183" t="n"/>
    </row>
    <row r="158" ht="16.9" customHeight="1" s="169">
      <c r="A158" s="161" t="n"/>
      <c r="B158" s="100" t="inlineStr">
        <is>
          <t>(㎡)</t>
        </is>
      </c>
      <c r="C158" s="100" t="inlineStr">
        <is>
          <t>(평)</t>
        </is>
      </c>
      <c r="D158" s="130" t="n"/>
      <c r="E158" s="152" t="n"/>
      <c r="F158" s="116" t="n"/>
      <c r="G158" s="130" t="n"/>
      <c r="H158" s="152" t="n"/>
      <c r="I158" s="130" t="n"/>
      <c r="J158" s="131" t="n"/>
    </row>
    <row r="159" ht="16.9" customHeight="1" s="169">
      <c r="A159" s="89" t="inlineStr">
        <is>
          <t>토지</t>
        </is>
      </c>
      <c r="B159" s="101" t="n">
        <v>32.2999</v>
      </c>
      <c r="C159" s="101">
        <f>B159*0.3025</f>
        <v/>
      </c>
      <c r="D159" s="121" t="n">
        <v>450400000</v>
      </c>
      <c r="E159" s="112" t="n"/>
      <c r="F159" s="263">
        <f>IFERROR(D159/$D$161,0)</f>
        <v/>
      </c>
      <c r="G159" s="121">
        <f>D159/B159</f>
        <v/>
      </c>
      <c r="H159" s="112" t="n"/>
      <c r="I159" s="121">
        <f>D159/C159</f>
        <v/>
      </c>
      <c r="J159" s="112" t="n"/>
    </row>
    <row r="160" ht="16.9" customHeight="1" s="169">
      <c r="A160" s="89" t="inlineStr">
        <is>
          <t>건물</t>
        </is>
      </c>
      <c r="B160" s="101" t="n">
        <v>109.14</v>
      </c>
      <c r="C160" s="101">
        <f>B160*0.3025</f>
        <v/>
      </c>
      <c r="D160" s="121" t="n">
        <v>112600000</v>
      </c>
      <c r="E160" s="112" t="n"/>
      <c r="F160" s="263">
        <f>IFERROR(D160/$D$161,0)</f>
        <v/>
      </c>
      <c r="G160" s="121">
        <f>D160/B160</f>
        <v/>
      </c>
      <c r="H160" s="112" t="n"/>
      <c r="I160" s="121">
        <f>D160/C160</f>
        <v/>
      </c>
      <c r="J160" s="112" t="n"/>
    </row>
    <row r="161" ht="16.9" customHeight="1" s="169">
      <c r="A161" s="57" t="inlineStr">
        <is>
          <t>합계</t>
        </is>
      </c>
      <c r="B161" s="58">
        <f>SUM(B159:B160)</f>
        <v/>
      </c>
      <c r="C161" s="58">
        <f>SUM(C159:C160)</f>
        <v/>
      </c>
      <c r="D161" s="158">
        <f>SUM(D159:E160)</f>
        <v/>
      </c>
      <c r="E161" s="159" t="n"/>
      <c r="F161" s="252">
        <f>SUM(F159:F160)</f>
        <v/>
      </c>
      <c r="G161" s="158">
        <f>D161/B161</f>
        <v/>
      </c>
      <c r="H161" s="159" t="n"/>
      <c r="I161" s="142">
        <f>D161/C161</f>
        <v/>
      </c>
      <c r="J161" s="143" t="n"/>
    </row>
    <row r="162" ht="16.9" customHeight="1" s="169">
      <c r="A162" s="178" t="inlineStr">
        <is>
          <t>603호</t>
        </is>
      </c>
      <c r="B162" s="179" t="inlineStr">
        <is>
          <t>면적</t>
        </is>
      </c>
      <c r="C162" s="123" t="n"/>
      <c r="D162" s="179" t="inlineStr">
        <is>
          <t>감정가(법사가)</t>
        </is>
      </c>
      <c r="E162" s="181" t="n"/>
      <c r="F162" s="179" t="inlineStr">
        <is>
          <t>비율</t>
        </is>
      </c>
      <c r="G162" s="179" t="inlineStr">
        <is>
          <t>㎡당금액</t>
        </is>
      </c>
      <c r="H162" s="181" t="n"/>
      <c r="I162" s="184" t="inlineStr">
        <is>
          <t>평당금액</t>
        </is>
      </c>
      <c r="J162" s="183" t="n"/>
    </row>
    <row r="163" ht="16.9" customHeight="1" s="169">
      <c r="A163" s="161" t="n"/>
      <c r="B163" s="100" t="inlineStr">
        <is>
          <t>(㎡)</t>
        </is>
      </c>
      <c r="C163" s="100" t="inlineStr">
        <is>
          <t>(평)</t>
        </is>
      </c>
      <c r="D163" s="130" t="n"/>
      <c r="E163" s="152" t="n"/>
      <c r="F163" s="116" t="n"/>
      <c r="G163" s="130" t="n"/>
      <c r="H163" s="152" t="n"/>
      <c r="I163" s="130" t="n"/>
      <c r="J163" s="131" t="n"/>
    </row>
    <row r="164" ht="16.9" customHeight="1" s="169">
      <c r="A164" s="89" t="inlineStr">
        <is>
          <t>토지</t>
        </is>
      </c>
      <c r="B164" s="101" t="n">
        <v>22.5573</v>
      </c>
      <c r="C164" s="101">
        <f>B164*0.3025</f>
        <v/>
      </c>
      <c r="D164" s="121" t="n">
        <v>314400000</v>
      </c>
      <c r="E164" s="112" t="n"/>
      <c r="F164" s="263">
        <f>IFERROR(D164/$D$166,0)</f>
        <v/>
      </c>
      <c r="G164" s="121">
        <f>D164/B164</f>
        <v/>
      </c>
      <c r="H164" s="112" t="n"/>
      <c r="I164" s="121">
        <f>D164/C164</f>
        <v/>
      </c>
      <c r="J164" s="112" t="n"/>
    </row>
    <row r="165" ht="16.9" customHeight="1" s="169">
      <c r="A165" s="89" t="inlineStr">
        <is>
          <t>건물</t>
        </is>
      </c>
      <c r="B165" s="101" t="n">
        <v>76.22</v>
      </c>
      <c r="C165" s="101">
        <f>B165*0.3025</f>
        <v/>
      </c>
      <c r="D165" s="121" t="n">
        <v>78600000</v>
      </c>
      <c r="E165" s="112" t="n"/>
      <c r="F165" s="263">
        <f>IFERROR(D165/$D$166,0)</f>
        <v/>
      </c>
      <c r="G165" s="121">
        <f>D165/B165</f>
        <v/>
      </c>
      <c r="H165" s="112" t="n"/>
      <c r="I165" s="121">
        <f>D165/C165</f>
        <v/>
      </c>
      <c r="J165" s="112" t="n"/>
    </row>
    <row r="166" ht="16.9" customHeight="1" s="169">
      <c r="A166" s="57" t="inlineStr">
        <is>
          <t>합계</t>
        </is>
      </c>
      <c r="B166" s="58">
        <f>SUM(B164:B165)</f>
        <v/>
      </c>
      <c r="C166" s="58">
        <f>SUM(C164:C165)</f>
        <v/>
      </c>
      <c r="D166" s="158">
        <f>SUM(D164:E165)</f>
        <v/>
      </c>
      <c r="E166" s="159" t="n"/>
      <c r="F166" s="252">
        <f>SUM(F164:F165)</f>
        <v/>
      </c>
      <c r="G166" s="158">
        <f>D166/B166</f>
        <v/>
      </c>
      <c r="H166" s="159" t="n"/>
      <c r="I166" s="142">
        <f>D166/C166</f>
        <v/>
      </c>
      <c r="J166" s="143" t="n"/>
    </row>
    <row r="167" ht="16.9" customHeight="1" s="169">
      <c r="A167" s="178" t="inlineStr">
        <is>
          <t>604호</t>
        </is>
      </c>
      <c r="B167" s="179" t="inlineStr">
        <is>
          <t>면적</t>
        </is>
      </c>
      <c r="C167" s="123" t="n"/>
      <c r="D167" s="179" t="inlineStr">
        <is>
          <t>감정가(법사가)</t>
        </is>
      </c>
      <c r="E167" s="181" t="n"/>
      <c r="F167" s="179" t="inlineStr">
        <is>
          <t>비율</t>
        </is>
      </c>
      <c r="G167" s="179" t="inlineStr">
        <is>
          <t>㎡당금액</t>
        </is>
      </c>
      <c r="H167" s="181" t="n"/>
      <c r="I167" s="184" t="inlineStr">
        <is>
          <t>평당금액</t>
        </is>
      </c>
      <c r="J167" s="183" t="n"/>
    </row>
    <row r="168" ht="16.9" customHeight="1" s="169">
      <c r="A168" s="161" t="n"/>
      <c r="B168" s="100" t="inlineStr">
        <is>
          <t>(㎡)</t>
        </is>
      </c>
      <c r="C168" s="100" t="inlineStr">
        <is>
          <t>(평)</t>
        </is>
      </c>
      <c r="D168" s="130" t="n"/>
      <c r="E168" s="152" t="n"/>
      <c r="F168" s="116" t="n"/>
      <c r="G168" s="130" t="n"/>
      <c r="H168" s="152" t="n"/>
      <c r="I168" s="130" t="n"/>
      <c r="J168" s="131" t="n"/>
    </row>
    <row r="169" ht="16.9" customHeight="1" s="169">
      <c r="A169" s="89" t="inlineStr">
        <is>
          <t>토지</t>
        </is>
      </c>
      <c r="B169" s="101" t="n">
        <v>18.1032</v>
      </c>
      <c r="C169" s="101">
        <f>B169*0.3025</f>
        <v/>
      </c>
      <c r="D169" s="121" t="n">
        <v>252800000</v>
      </c>
      <c r="E169" s="112" t="n"/>
      <c r="F169" s="263">
        <f>IFERROR(D169/$D$171,0)</f>
        <v/>
      </c>
      <c r="G169" s="121">
        <f>D169/B169</f>
        <v/>
      </c>
      <c r="H169" s="112" t="n"/>
      <c r="I169" s="121">
        <f>D169/C169</f>
        <v/>
      </c>
      <c r="J169" s="112" t="n"/>
    </row>
    <row r="170" ht="16.9" customHeight="1" s="169">
      <c r="A170" s="89" t="inlineStr">
        <is>
          <t>건물</t>
        </is>
      </c>
      <c r="B170" s="101" t="n">
        <v>61.17</v>
      </c>
      <c r="C170" s="101">
        <f>B170*0.3025</f>
        <v/>
      </c>
      <c r="D170" s="121" t="n">
        <v>63200000</v>
      </c>
      <c r="E170" s="112" t="n"/>
      <c r="F170" s="263">
        <f>IFERROR(D170/$D$171,0)</f>
        <v/>
      </c>
      <c r="G170" s="121">
        <f>D170/B170</f>
        <v/>
      </c>
      <c r="H170" s="112" t="n"/>
      <c r="I170" s="121">
        <f>D170/C170</f>
        <v/>
      </c>
      <c r="J170" s="112" t="n"/>
    </row>
    <row r="171" ht="16.9" customHeight="1" s="169">
      <c r="A171" s="57" t="inlineStr">
        <is>
          <t>합계</t>
        </is>
      </c>
      <c r="B171" s="58">
        <f>SUM(B169:B170)</f>
        <v/>
      </c>
      <c r="C171" s="58">
        <f>SUM(C169:C170)</f>
        <v/>
      </c>
      <c r="D171" s="158">
        <f>SUM(D169:E170)</f>
        <v/>
      </c>
      <c r="E171" s="159" t="n"/>
      <c r="F171" s="252">
        <f>SUM(F169:F170)</f>
        <v/>
      </c>
      <c r="G171" s="158">
        <f>D171/B171</f>
        <v/>
      </c>
      <c r="H171" s="159" t="n"/>
      <c r="I171" s="142">
        <f>D171/C171</f>
        <v/>
      </c>
      <c r="J171" s="143" t="n"/>
    </row>
    <row r="172" ht="16.9" customHeight="1" s="169">
      <c r="A172" s="178" t="inlineStr">
        <is>
          <t>605호</t>
        </is>
      </c>
      <c r="B172" s="179" t="inlineStr">
        <is>
          <t>면적</t>
        </is>
      </c>
      <c r="C172" s="123" t="n"/>
      <c r="D172" s="179" t="inlineStr">
        <is>
          <t>감정가(법사가)</t>
        </is>
      </c>
      <c r="E172" s="181" t="n"/>
      <c r="F172" s="179" t="inlineStr">
        <is>
          <t>비율</t>
        </is>
      </c>
      <c r="G172" s="179" t="inlineStr">
        <is>
          <t>㎡당금액</t>
        </is>
      </c>
      <c r="H172" s="181" t="n"/>
      <c r="I172" s="184" t="inlineStr">
        <is>
          <t>평당금액</t>
        </is>
      </c>
      <c r="J172" s="183" t="n"/>
    </row>
    <row r="173" ht="16.9" customHeight="1" s="169">
      <c r="A173" s="161" t="n"/>
      <c r="B173" s="100" t="inlineStr">
        <is>
          <t>(㎡)</t>
        </is>
      </c>
      <c r="C173" s="100" t="inlineStr">
        <is>
          <t>(평)</t>
        </is>
      </c>
      <c r="D173" s="130" t="n"/>
      <c r="E173" s="152" t="n"/>
      <c r="F173" s="116" t="n"/>
      <c r="G173" s="130" t="n"/>
      <c r="H173" s="152" t="n"/>
      <c r="I173" s="130" t="n"/>
      <c r="J173" s="131" t="n"/>
    </row>
    <row r="174" ht="16.9" customHeight="1" s="169">
      <c r="A174" s="89" t="inlineStr">
        <is>
          <t>토지</t>
        </is>
      </c>
      <c r="B174" s="101" t="n">
        <v>5.8598</v>
      </c>
      <c r="C174" s="101">
        <f>B174*0.3025</f>
        <v/>
      </c>
      <c r="D174" s="121" t="n">
        <v>84000000</v>
      </c>
      <c r="E174" s="112" t="n"/>
      <c r="F174" s="263">
        <f>IFERROR(D174/$D$176,0)</f>
        <v/>
      </c>
      <c r="G174" s="121">
        <f>D174/B174</f>
        <v/>
      </c>
      <c r="H174" s="112" t="n"/>
      <c r="I174" s="121">
        <f>D174/C174</f>
        <v/>
      </c>
      <c r="J174" s="112" t="n"/>
    </row>
    <row r="175" ht="16.9" customHeight="1" s="169">
      <c r="A175" s="89" t="inlineStr">
        <is>
          <t>건물</t>
        </is>
      </c>
      <c r="B175" s="101" t="n">
        <v>19.8</v>
      </c>
      <c r="C175" s="101">
        <f>B175*0.3025</f>
        <v/>
      </c>
      <c r="D175" s="121" t="n">
        <v>21000000</v>
      </c>
      <c r="E175" s="112" t="n"/>
      <c r="F175" s="263">
        <f>IFERROR(D175/$D$176,0)</f>
        <v/>
      </c>
      <c r="G175" s="121">
        <f>D175/B175</f>
        <v/>
      </c>
      <c r="H175" s="112" t="n"/>
      <c r="I175" s="121">
        <f>D175/C175</f>
        <v/>
      </c>
      <c r="J175" s="112" t="n"/>
    </row>
    <row r="176" ht="16.9" customHeight="1" s="169">
      <c r="A176" s="57" t="inlineStr">
        <is>
          <t>합계</t>
        </is>
      </c>
      <c r="B176" s="58">
        <f>SUM(B174:B175)</f>
        <v/>
      </c>
      <c r="C176" s="58">
        <f>SUM(C174:C175)</f>
        <v/>
      </c>
      <c r="D176" s="158">
        <f>SUM(D174:E175)</f>
        <v/>
      </c>
      <c r="E176" s="159" t="n"/>
      <c r="F176" s="252">
        <f>SUM(F174:F175)</f>
        <v/>
      </c>
      <c r="G176" s="158">
        <f>D176/B176</f>
        <v/>
      </c>
      <c r="H176" s="159" t="n"/>
      <c r="I176" s="142">
        <f>D176/C176</f>
        <v/>
      </c>
      <c r="J176" s="143" t="n"/>
    </row>
  </sheetData>
  <mergeCells count="527">
    <mergeCell ref="D60:E60"/>
    <mergeCell ref="A137:A138"/>
    <mergeCell ref="F127:F128"/>
    <mergeCell ref="D174:E174"/>
    <mergeCell ref="I104:J104"/>
    <mergeCell ref="D12:E13"/>
    <mergeCell ref="G71:H71"/>
    <mergeCell ref="D45:E45"/>
    <mergeCell ref="B12:C12"/>
    <mergeCell ref="I106:J106"/>
    <mergeCell ref="G66:H66"/>
    <mergeCell ref="D70:E70"/>
    <mergeCell ref="I66:J66"/>
    <mergeCell ref="F62:F63"/>
    <mergeCell ref="F122:F123"/>
    <mergeCell ref="I155:J155"/>
    <mergeCell ref="D134:E134"/>
    <mergeCell ref="G139:H139"/>
    <mergeCell ref="G2:H3"/>
    <mergeCell ref="I2:J3"/>
    <mergeCell ref="G114:H114"/>
    <mergeCell ref="I170:J170"/>
    <mergeCell ref="D71:E71"/>
    <mergeCell ref="F57:F58"/>
    <mergeCell ref="I47:J48"/>
    <mergeCell ref="G157:H158"/>
    <mergeCell ref="I30:J30"/>
    <mergeCell ref="G59:H59"/>
    <mergeCell ref="I46:J46"/>
    <mergeCell ref="G142:H143"/>
    <mergeCell ref="I142:J143"/>
    <mergeCell ref="G61:H61"/>
    <mergeCell ref="D131:E131"/>
    <mergeCell ref="I61:J61"/>
    <mergeCell ref="G92:H93"/>
    <mergeCell ref="D162:E163"/>
    <mergeCell ref="I175:J175"/>
    <mergeCell ref="A87:A88"/>
    <mergeCell ref="B2:C2"/>
    <mergeCell ref="D124:E124"/>
    <mergeCell ref="I54:J54"/>
    <mergeCell ref="G125:H125"/>
    <mergeCell ref="I125:J125"/>
    <mergeCell ref="I41:J41"/>
    <mergeCell ref="I137:J138"/>
    <mergeCell ref="D66:E66"/>
    <mergeCell ref="D126:E126"/>
    <mergeCell ref="I56:J56"/>
    <mergeCell ref="A147:A148"/>
    <mergeCell ref="I176:J176"/>
    <mergeCell ref="I114:J114"/>
    <mergeCell ref="D110:E110"/>
    <mergeCell ref="D15:E15"/>
    <mergeCell ref="G16:H16"/>
    <mergeCell ref="G76:H76"/>
    <mergeCell ref="A92:A93"/>
    <mergeCell ref="B142:C142"/>
    <mergeCell ref="D129:E129"/>
    <mergeCell ref="I59:J59"/>
    <mergeCell ref="G9:H9"/>
    <mergeCell ref="D79:E79"/>
    <mergeCell ref="I9:J9"/>
    <mergeCell ref="G147:H148"/>
    <mergeCell ref="G140:H140"/>
    <mergeCell ref="I140:J140"/>
    <mergeCell ref="D144:E144"/>
    <mergeCell ref="I92:J93"/>
    <mergeCell ref="G11:H11"/>
    <mergeCell ref="D81:E81"/>
    <mergeCell ref="I11:J11"/>
    <mergeCell ref="I67:J68"/>
    <mergeCell ref="A1:B1"/>
    <mergeCell ref="I132:J133"/>
    <mergeCell ref="D152:E153"/>
    <mergeCell ref="I82:J83"/>
    <mergeCell ref="D139:E139"/>
    <mergeCell ref="G69:H69"/>
    <mergeCell ref="B172:C172"/>
    <mergeCell ref="G95:H95"/>
    <mergeCell ref="G102:H103"/>
    <mergeCell ref="G89:H89"/>
    <mergeCell ref="D22:E23"/>
    <mergeCell ref="A97:A98"/>
    <mergeCell ref="G64:H64"/>
    <mergeCell ref="G135:H135"/>
    <mergeCell ref="I64:J64"/>
    <mergeCell ref="B92:C92"/>
    <mergeCell ref="G51:H51"/>
    <mergeCell ref="I51:J51"/>
    <mergeCell ref="D30:E30"/>
    <mergeCell ref="D55:E55"/>
    <mergeCell ref="F157:F158"/>
    <mergeCell ref="I87:J88"/>
    <mergeCell ref="D5:E5"/>
    <mergeCell ref="I147:J148"/>
    <mergeCell ref="G164:H164"/>
    <mergeCell ref="G97:H98"/>
    <mergeCell ref="I122:J123"/>
    <mergeCell ref="D94:E94"/>
    <mergeCell ref="I97:J98"/>
    <mergeCell ref="I65:J65"/>
    <mergeCell ref="D69:E69"/>
    <mergeCell ref="F142:F143"/>
    <mergeCell ref="I17:J18"/>
    <mergeCell ref="D21:E21"/>
    <mergeCell ref="B152:C152"/>
    <mergeCell ref="I42:J43"/>
    <mergeCell ref="G19:H19"/>
    <mergeCell ref="D145:E145"/>
    <mergeCell ref="I75:J75"/>
    <mergeCell ref="G146:H146"/>
    <mergeCell ref="G6:H6"/>
    <mergeCell ref="I146:J146"/>
    <mergeCell ref="A32:A33"/>
    <mergeCell ref="D16:E16"/>
    <mergeCell ref="B87:C87"/>
    <mergeCell ref="B147:C147"/>
    <mergeCell ref="G77:H78"/>
    <mergeCell ref="I77:J78"/>
    <mergeCell ref="A72:A73"/>
    <mergeCell ref="A47:A48"/>
    <mergeCell ref="G14:H14"/>
    <mergeCell ref="I39:J39"/>
    <mergeCell ref="I14:J14"/>
    <mergeCell ref="I72:J73"/>
    <mergeCell ref="F147:F148"/>
    <mergeCell ref="G159:H159"/>
    <mergeCell ref="G37:H38"/>
    <mergeCell ref="D100:E100"/>
    <mergeCell ref="I37:J38"/>
    <mergeCell ref="D107:E108"/>
    <mergeCell ref="G161:H161"/>
    <mergeCell ref="G136:H136"/>
    <mergeCell ref="I136:J136"/>
    <mergeCell ref="G167:H168"/>
    <mergeCell ref="B102:C102"/>
    <mergeCell ref="D31:E31"/>
    <mergeCell ref="I167:J168"/>
    <mergeCell ref="A162:A163"/>
    <mergeCell ref="B77:C77"/>
    <mergeCell ref="D6:E6"/>
    <mergeCell ref="A27:A28"/>
    <mergeCell ref="I129:J129"/>
    <mergeCell ref="D42:E43"/>
    <mergeCell ref="D102:E103"/>
    <mergeCell ref="I25:J25"/>
    <mergeCell ref="D160:E160"/>
    <mergeCell ref="D141:E141"/>
    <mergeCell ref="I71:J71"/>
    <mergeCell ref="I131:J131"/>
    <mergeCell ref="D135:E135"/>
    <mergeCell ref="G27:H28"/>
    <mergeCell ref="A22:A23"/>
    <mergeCell ref="G52:H53"/>
    <mergeCell ref="G20:H20"/>
    <mergeCell ref="G91:H91"/>
    <mergeCell ref="D24:E24"/>
    <mergeCell ref="I20:J20"/>
    <mergeCell ref="A167:A168"/>
    <mergeCell ref="G85:H85"/>
    <mergeCell ref="A117:A118"/>
    <mergeCell ref="B32:C32"/>
    <mergeCell ref="G84:H84"/>
    <mergeCell ref="F7:F8"/>
    <mergeCell ref="I84:J84"/>
    <mergeCell ref="F172:F173"/>
    <mergeCell ref="D26:E26"/>
    <mergeCell ref="G149:H149"/>
    <mergeCell ref="I149:J149"/>
    <mergeCell ref="D57:E58"/>
    <mergeCell ref="D115:E115"/>
    <mergeCell ref="G86:H86"/>
    <mergeCell ref="I15:J15"/>
    <mergeCell ref="D19:E19"/>
    <mergeCell ref="I86:J86"/>
    <mergeCell ref="D90:E90"/>
    <mergeCell ref="G151:H151"/>
    <mergeCell ref="I80:J80"/>
    <mergeCell ref="I151:J151"/>
    <mergeCell ref="B27:C27"/>
    <mergeCell ref="F2:F3"/>
    <mergeCell ref="I157:J158"/>
    <mergeCell ref="I144:J144"/>
    <mergeCell ref="G32:H33"/>
    <mergeCell ref="A37:A38"/>
    <mergeCell ref="G175:H175"/>
    <mergeCell ref="G47:H48"/>
    <mergeCell ref="D166:E166"/>
    <mergeCell ref="A17:A18"/>
    <mergeCell ref="B37:C37"/>
    <mergeCell ref="F152:F153"/>
    <mergeCell ref="G104:H104"/>
    <mergeCell ref="I27:J28"/>
    <mergeCell ref="F102:F103"/>
    <mergeCell ref="D9:E9"/>
    <mergeCell ref="G35:H35"/>
    <mergeCell ref="I35:J35"/>
    <mergeCell ref="D161:E161"/>
    <mergeCell ref="I10:J10"/>
    <mergeCell ref="G99:H99"/>
    <mergeCell ref="D169:E169"/>
    <mergeCell ref="I99:J99"/>
    <mergeCell ref="D32:E33"/>
    <mergeCell ref="A107:A108"/>
    <mergeCell ref="I22:J23"/>
    <mergeCell ref="I74:J74"/>
    <mergeCell ref="D47:E48"/>
    <mergeCell ref="B7:C7"/>
    <mergeCell ref="G155:H155"/>
    <mergeCell ref="G130:H130"/>
    <mergeCell ref="D96:E96"/>
    <mergeCell ref="B52:C52"/>
    <mergeCell ref="I117:J118"/>
    <mergeCell ref="A12:A13"/>
    <mergeCell ref="G101:H101"/>
    <mergeCell ref="I150:J150"/>
    <mergeCell ref="D116:E116"/>
    <mergeCell ref="B162:C162"/>
    <mergeCell ref="D91:E91"/>
    <mergeCell ref="I21:J21"/>
    <mergeCell ref="I165:J165"/>
    <mergeCell ref="D156:E156"/>
    <mergeCell ref="A122:A123"/>
    <mergeCell ref="F52:F53"/>
    <mergeCell ref="D106:E106"/>
    <mergeCell ref="G54:H54"/>
    <mergeCell ref="G41:H41"/>
    <mergeCell ref="G106:H106"/>
    <mergeCell ref="G137:H138"/>
    <mergeCell ref="A67:A68"/>
    <mergeCell ref="G56:H56"/>
    <mergeCell ref="A132:A133"/>
    <mergeCell ref="G105:H105"/>
    <mergeCell ref="I34:J34"/>
    <mergeCell ref="B47:C47"/>
    <mergeCell ref="I112:J113"/>
    <mergeCell ref="G87:H88"/>
    <mergeCell ref="I105:J105"/>
    <mergeCell ref="D109:E109"/>
    <mergeCell ref="G112:H113"/>
    <mergeCell ref="D7:E8"/>
    <mergeCell ref="D119:E119"/>
    <mergeCell ref="I49:J49"/>
    <mergeCell ref="G120:H120"/>
    <mergeCell ref="I120:J120"/>
    <mergeCell ref="G36:H36"/>
    <mergeCell ref="D46:E46"/>
    <mergeCell ref="D40:E40"/>
    <mergeCell ref="I36:J36"/>
    <mergeCell ref="D111:E111"/>
    <mergeCell ref="I101:J101"/>
    <mergeCell ref="F32:F33"/>
    <mergeCell ref="D117:E118"/>
    <mergeCell ref="I100:J100"/>
    <mergeCell ref="D104:E104"/>
    <mergeCell ref="I107:J108"/>
    <mergeCell ref="I172:J173"/>
    <mergeCell ref="I115:J115"/>
    <mergeCell ref="D41:E41"/>
    <mergeCell ref="F27:F28"/>
    <mergeCell ref="B137:C137"/>
    <mergeCell ref="G67:H68"/>
    <mergeCell ref="A62:A63"/>
    <mergeCell ref="G29:H29"/>
    <mergeCell ref="G4:H4"/>
    <mergeCell ref="D74:E74"/>
    <mergeCell ref="I4:J4"/>
    <mergeCell ref="D130:E130"/>
    <mergeCell ref="I29:J29"/>
    <mergeCell ref="D2:E3"/>
    <mergeCell ref="G31:H31"/>
    <mergeCell ref="I31:J31"/>
    <mergeCell ref="A82:A83"/>
    <mergeCell ref="G62:H63"/>
    <mergeCell ref="I62:J63"/>
    <mergeCell ref="D59:E59"/>
    <mergeCell ref="G127:H128"/>
    <mergeCell ref="I127:J128"/>
    <mergeCell ref="I95:J95"/>
    <mergeCell ref="I89:J89"/>
    <mergeCell ref="G176:H176"/>
    <mergeCell ref="D36:E36"/>
    <mergeCell ref="I26:J26"/>
    <mergeCell ref="B67:C67"/>
    <mergeCell ref="F42:F43"/>
    <mergeCell ref="D142:E143"/>
    <mergeCell ref="D61:E61"/>
    <mergeCell ref="G171:H171"/>
    <mergeCell ref="I171:J171"/>
    <mergeCell ref="G121:H121"/>
    <mergeCell ref="I121:J121"/>
    <mergeCell ref="D125:E125"/>
    <mergeCell ref="B112:C112"/>
    <mergeCell ref="F37:F38"/>
    <mergeCell ref="B127:C127"/>
    <mergeCell ref="D56:E56"/>
    <mergeCell ref="G110:H110"/>
    <mergeCell ref="D176:E176"/>
    <mergeCell ref="I110:J110"/>
    <mergeCell ref="I44:J44"/>
    <mergeCell ref="D114:E114"/>
    <mergeCell ref="I166:J166"/>
    <mergeCell ref="G42:H43"/>
    <mergeCell ref="D64:E64"/>
    <mergeCell ref="D51:E51"/>
    <mergeCell ref="F112:F113"/>
    <mergeCell ref="G75:H75"/>
    <mergeCell ref="D122:E123"/>
    <mergeCell ref="I52:J53"/>
    <mergeCell ref="G70:H70"/>
    <mergeCell ref="D140:E140"/>
    <mergeCell ref="I70:J70"/>
    <mergeCell ref="D92:E93"/>
    <mergeCell ref="D11:E11"/>
    <mergeCell ref="I134:J134"/>
    <mergeCell ref="D67:E68"/>
    <mergeCell ref="G72:H73"/>
    <mergeCell ref="I96:J96"/>
    <mergeCell ref="D75:E75"/>
    <mergeCell ref="D82:E83"/>
    <mergeCell ref="I111:J111"/>
    <mergeCell ref="G65:H65"/>
    <mergeCell ref="G154:H154"/>
    <mergeCell ref="D39:E39"/>
    <mergeCell ref="G17:H18"/>
    <mergeCell ref="G82:H83"/>
    <mergeCell ref="G129:H129"/>
    <mergeCell ref="G25:H25"/>
    <mergeCell ref="D89:E89"/>
    <mergeCell ref="G60:H60"/>
    <mergeCell ref="G131:H131"/>
    <mergeCell ref="I60:J60"/>
    <mergeCell ref="F137:F138"/>
    <mergeCell ref="G162:H163"/>
    <mergeCell ref="B97:C97"/>
    <mergeCell ref="I174:J174"/>
    <mergeCell ref="A157:A158"/>
    <mergeCell ref="I12:J13"/>
    <mergeCell ref="B72:C72"/>
    <mergeCell ref="D87:E88"/>
    <mergeCell ref="D147:E148"/>
    <mergeCell ref="I124:J124"/>
    <mergeCell ref="I45:J45"/>
    <mergeCell ref="D97:E98"/>
    <mergeCell ref="I116:J116"/>
    <mergeCell ref="D65:E65"/>
    <mergeCell ref="G126:H126"/>
    <mergeCell ref="I126:J126"/>
    <mergeCell ref="B42:C42"/>
    <mergeCell ref="B17:C17"/>
    <mergeCell ref="B82:C82"/>
    <mergeCell ref="G15:H15"/>
    <mergeCell ref="G80:H80"/>
    <mergeCell ref="F92:F93"/>
    <mergeCell ref="D146:E146"/>
    <mergeCell ref="A112:A113"/>
    <mergeCell ref="G79:H79"/>
    <mergeCell ref="I79:J79"/>
    <mergeCell ref="G144:H144"/>
    <mergeCell ref="G122:H123"/>
    <mergeCell ref="G7:H8"/>
    <mergeCell ref="D77:E78"/>
    <mergeCell ref="I7:J8"/>
    <mergeCell ref="D52:E53"/>
    <mergeCell ref="I40:J40"/>
    <mergeCell ref="D14:E14"/>
    <mergeCell ref="D85:E85"/>
    <mergeCell ref="F87:F88"/>
    <mergeCell ref="A172:A173"/>
    <mergeCell ref="I164:J164"/>
    <mergeCell ref="I139:J139"/>
    <mergeCell ref="D72:E73"/>
    <mergeCell ref="D159:E159"/>
    <mergeCell ref="I162:J163"/>
    <mergeCell ref="D80:E80"/>
    <mergeCell ref="G170:H170"/>
    <mergeCell ref="B167:C167"/>
    <mergeCell ref="D37:E38"/>
    <mergeCell ref="G10:H10"/>
    <mergeCell ref="D136:E136"/>
    <mergeCell ref="D167:E168"/>
    <mergeCell ref="D154:E154"/>
    <mergeCell ref="G22:H23"/>
    <mergeCell ref="F97:F98"/>
    <mergeCell ref="G74:H74"/>
    <mergeCell ref="I130:J130"/>
    <mergeCell ref="G30:H30"/>
    <mergeCell ref="I55:J55"/>
    <mergeCell ref="G5:H5"/>
    <mergeCell ref="I5:J5"/>
    <mergeCell ref="F77:F78"/>
    <mergeCell ref="A152:A153"/>
    <mergeCell ref="F82:F83"/>
    <mergeCell ref="D27:E28"/>
    <mergeCell ref="G117:H118"/>
    <mergeCell ref="G150:H150"/>
    <mergeCell ref="G21:H21"/>
    <mergeCell ref="D20:E20"/>
    <mergeCell ref="G81:H81"/>
    <mergeCell ref="I81:J81"/>
    <mergeCell ref="A7:A8"/>
    <mergeCell ref="B22:C22"/>
    <mergeCell ref="D84:E84"/>
    <mergeCell ref="D155:E155"/>
    <mergeCell ref="G145:H145"/>
    <mergeCell ref="G152:H153"/>
    <mergeCell ref="I145:J145"/>
    <mergeCell ref="D149:E149"/>
    <mergeCell ref="I152:J153"/>
    <mergeCell ref="G160:H160"/>
    <mergeCell ref="D86:E86"/>
    <mergeCell ref="I16:J16"/>
    <mergeCell ref="I76:J76"/>
    <mergeCell ref="G174:H174"/>
    <mergeCell ref="D151:E151"/>
    <mergeCell ref="F72:F73"/>
    <mergeCell ref="A2:A3"/>
    <mergeCell ref="F47:F48"/>
    <mergeCell ref="D150:E150"/>
    <mergeCell ref="D157:E158"/>
    <mergeCell ref="G34:H34"/>
    <mergeCell ref="D4:E4"/>
    <mergeCell ref="A77:A78"/>
    <mergeCell ref="G132:H133"/>
    <mergeCell ref="A127:A128"/>
    <mergeCell ref="G100:H100"/>
    <mergeCell ref="G107:H108"/>
    <mergeCell ref="G94:H94"/>
    <mergeCell ref="D164:E164"/>
    <mergeCell ref="I94:J94"/>
    <mergeCell ref="A102:A103"/>
    <mergeCell ref="G165:H165"/>
    <mergeCell ref="G172:H173"/>
    <mergeCell ref="G44:H44"/>
    <mergeCell ref="I69:J69"/>
    <mergeCell ref="D35:E35"/>
    <mergeCell ref="F162:F163"/>
    <mergeCell ref="D10:E10"/>
    <mergeCell ref="I6:J6"/>
    <mergeCell ref="D34:E34"/>
    <mergeCell ref="G169:H169"/>
    <mergeCell ref="D99:E99"/>
    <mergeCell ref="I102:J103"/>
    <mergeCell ref="I160:J160"/>
    <mergeCell ref="G40:H40"/>
    <mergeCell ref="I135:J135"/>
    <mergeCell ref="D101:E101"/>
    <mergeCell ref="B117:C117"/>
    <mergeCell ref="F22:F23"/>
    <mergeCell ref="D76:E76"/>
    <mergeCell ref="B157:C157"/>
    <mergeCell ref="B132:C132"/>
    <mergeCell ref="G49:H49"/>
    <mergeCell ref="D175:E175"/>
    <mergeCell ref="A57:A58"/>
    <mergeCell ref="G24:H24"/>
    <mergeCell ref="I24:J24"/>
    <mergeCell ref="F167:F168"/>
    <mergeCell ref="F117:F118"/>
    <mergeCell ref="D165:E165"/>
    <mergeCell ref="G26:H26"/>
    <mergeCell ref="G57:H58"/>
    <mergeCell ref="A52:A53"/>
    <mergeCell ref="D29:E29"/>
    <mergeCell ref="G90:H90"/>
    <mergeCell ref="I19:J19"/>
    <mergeCell ref="G115:H115"/>
    <mergeCell ref="B122:C122"/>
    <mergeCell ref="D137:E138"/>
    <mergeCell ref="G39:H39"/>
    <mergeCell ref="D105:E105"/>
    <mergeCell ref="D112:E113"/>
    <mergeCell ref="G166:H166"/>
    <mergeCell ref="D170:E170"/>
    <mergeCell ref="G141:H141"/>
    <mergeCell ref="G116:H116"/>
    <mergeCell ref="D49:E49"/>
    <mergeCell ref="I141:J141"/>
    <mergeCell ref="F17:F18"/>
    <mergeCell ref="D120:E120"/>
    <mergeCell ref="B107:C107"/>
    <mergeCell ref="I159:J159"/>
    <mergeCell ref="B57:C57"/>
    <mergeCell ref="D132:E133"/>
    <mergeCell ref="D171:E171"/>
    <mergeCell ref="I161:J161"/>
    <mergeCell ref="D172:E173"/>
    <mergeCell ref="I32:J33"/>
    <mergeCell ref="D25:E25"/>
    <mergeCell ref="G134:H134"/>
    <mergeCell ref="G50:H50"/>
    <mergeCell ref="I50:J50"/>
    <mergeCell ref="D54:E54"/>
    <mergeCell ref="I57:J58"/>
    <mergeCell ref="G96:H96"/>
    <mergeCell ref="I90:J90"/>
    <mergeCell ref="B62:C62"/>
    <mergeCell ref="F12:F13"/>
    <mergeCell ref="I154:J154"/>
    <mergeCell ref="D62:E63"/>
    <mergeCell ref="D127:E128"/>
    <mergeCell ref="I91:J91"/>
    <mergeCell ref="D95:E95"/>
    <mergeCell ref="G156:H156"/>
    <mergeCell ref="I85:J85"/>
    <mergeCell ref="P21:Q21"/>
    <mergeCell ref="I156:J156"/>
    <mergeCell ref="G12:H13"/>
    <mergeCell ref="A42:A43"/>
    <mergeCell ref="G124:H124"/>
    <mergeCell ref="G45:H45"/>
    <mergeCell ref="G55:H55"/>
    <mergeCell ref="F67:F68"/>
    <mergeCell ref="D121:E121"/>
    <mergeCell ref="A142:A143"/>
    <mergeCell ref="F132:F133"/>
    <mergeCell ref="G109:H109"/>
    <mergeCell ref="I109:J109"/>
    <mergeCell ref="D17:E18"/>
    <mergeCell ref="I169:J169"/>
    <mergeCell ref="F107:F108"/>
    <mergeCell ref="G119:H119"/>
    <mergeCell ref="I119:J119"/>
    <mergeCell ref="G46:H46"/>
    <mergeCell ref="D50:E50"/>
    <mergeCell ref="G111:H111"/>
    <mergeCell ref="D44:E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tabSelected="1" zoomScale="115" zoomScaleNormal="115" workbookViewId="0">
      <selection activeCell="N13" sqref="N13"/>
    </sheetView>
  </sheetViews>
  <sheetFormatPr baseColWidth="8" defaultRowHeight="16.5"/>
  <cols>
    <col width="13.25" customWidth="1" style="169" min="3" max="3"/>
    <col width="10.25" bestFit="1" customWidth="1" style="169" min="4" max="4"/>
    <col width="7.375" bestFit="1" customWidth="1" style="169" min="5" max="5"/>
    <col width="9.75" bestFit="1" customWidth="1" style="169" min="6" max="6"/>
    <col width="11.25" bestFit="1" customWidth="1" style="169" min="7" max="7"/>
    <col width="9.875" customWidth="1" style="169" min="8" max="8"/>
    <col width="12.125" bestFit="1" customWidth="1" style="169" min="10" max="10"/>
    <col width="9.5" customWidth="1" style="169" min="12" max="12"/>
  </cols>
  <sheetData>
    <row r="1" ht="25.15" customHeight="1" s="169">
      <c r="A1" s="236" t="inlineStr">
        <is>
          <t>시세조사 요약 및 비교표</t>
        </is>
      </c>
    </row>
    <row r="2" ht="18" customHeight="1" s="169" thickBot="1">
      <c r="A2" s="241" t="inlineStr">
        <is>
          <t>3. 시세조사내용</t>
        </is>
      </c>
    </row>
    <row r="3">
      <c r="A3" s="43" t="inlineStr">
        <is>
          <t>1) 인근 실거래가 (국토부 · 집합: 노형동 710 반경 1km / 통건물: 반경 7km 주요 거래)</t>
        </is>
      </c>
      <c r="B3" s="44" t="n"/>
      <c r="C3" s="44" t="n"/>
      <c r="D3" s="44" t="n"/>
      <c r="E3" s="44" t="n"/>
      <c r="F3" s="44" t="n"/>
      <c r="G3" s="44" t="n"/>
      <c r="H3" s="45" t="n"/>
      <c r="I3" s="44" t="n"/>
      <c r="J3" s="201" t="inlineStr">
        <is>
          <t>(단위: 원)</t>
        </is>
      </c>
      <c r="K3" s="163" t="n"/>
      <c r="L3" s="164" t="n"/>
    </row>
    <row r="4">
      <c r="A4" s="230" t="inlineStr">
        <is>
          <t>no</t>
        </is>
      </c>
      <c r="B4" s="194" t="inlineStr">
        <is>
          <t>매매일자</t>
        </is>
      </c>
      <c r="C4" s="194" t="inlineStr">
        <is>
          <t>주소</t>
        </is>
      </c>
      <c r="D4" s="194" t="inlineStr">
        <is>
          <t>종류 / 층</t>
        </is>
      </c>
      <c r="E4" s="235" t="inlineStr">
        <is>
          <t>면적</t>
        </is>
      </c>
      <c r="F4" s="108" t="n"/>
      <c r="G4" s="194" t="inlineStr">
        <is>
          <t>매매가</t>
        </is>
      </c>
      <c r="H4" s="194" t="inlineStr">
        <is>
          <t>평당가
(토지)</t>
        </is>
      </c>
      <c r="I4" s="242" t="inlineStr">
        <is>
          <t>사용승인</t>
        </is>
      </c>
      <c r="J4" s="129" t="n"/>
      <c r="K4" s="238" t="inlineStr">
        <is>
          <t>비고</t>
        </is>
      </c>
      <c r="L4" s="129" t="n"/>
    </row>
    <row r="5">
      <c r="A5" s="161" t="n"/>
      <c r="B5" s="234" t="n"/>
      <c r="C5" s="234" t="n"/>
      <c r="D5" s="234" t="n"/>
      <c r="E5" s="211" t="inlineStr">
        <is>
          <t>전용(평)</t>
        </is>
      </c>
      <c r="F5" s="212" t="n"/>
      <c r="G5" s="234" t="n"/>
      <c r="H5" s="234" t="n"/>
      <c r="I5" s="130" t="n"/>
      <c r="J5" s="131" t="n"/>
      <c r="K5" s="239" t="n"/>
      <c r="L5" s="131" t="n"/>
    </row>
    <row r="6">
      <c r="A6" s="210" t="inlineStr">
        <is>
          <t>①</t>
        </is>
      </c>
      <c r="B6" s="41" t="inlineStr">
        <is>
          <t>25.04.20</t>
        </is>
      </c>
      <c r="C6" s="199" t="inlineStr">
        <is>
          <t>노형동 720-1</t>
        </is>
      </c>
      <c r="D6" s="199" t="inlineStr">
        <is>
          <t>상가 / 6층</t>
        </is>
      </c>
      <c r="E6" s="198" t="n">
        <v>52.5</v>
      </c>
      <c r="F6" s="112" t="n"/>
      <c r="G6" s="51" t="n">
        <v>524000000</v>
      </c>
      <c r="H6" s="51">
        <f>G6/E6</f>
        <v/>
      </c>
      <c r="I6" s="199" t="n">
        <v>2002</v>
      </c>
      <c r="J6" s="112" t="n"/>
      <c r="K6" s="191" t="inlineStr">
        <is>
          <t>물건지 옆 건물(안쪽 건물)</t>
        </is>
      </c>
      <c r="L6" s="192" t="n"/>
    </row>
    <row r="7">
      <c r="A7" s="210" t="inlineStr">
        <is>
          <t>②</t>
        </is>
      </c>
      <c r="B7" s="41" t="inlineStr">
        <is>
          <t>25.04.20</t>
        </is>
      </c>
      <c r="C7" s="199" t="inlineStr">
        <is>
          <t>노형동 720-1</t>
        </is>
      </c>
      <c r="D7" s="199" t="inlineStr">
        <is>
          <t>상가 / 3층</t>
        </is>
      </c>
      <c r="E7" s="198" t="n">
        <v>12.63</v>
      </c>
      <c r="F7" s="112" t="n"/>
      <c r="G7" s="51" t="n">
        <v>134000000</v>
      </c>
      <c r="H7" s="51">
        <f>G7/E7</f>
        <v/>
      </c>
      <c r="I7" s="199" t="n">
        <v>2002</v>
      </c>
      <c r="J7" s="112" t="n"/>
      <c r="K7" s="191" t="inlineStr">
        <is>
          <t>물건지 옆 건물(안쪽 건물)</t>
        </is>
      </c>
      <c r="L7" s="192" t="n"/>
    </row>
    <row r="8">
      <c r="A8" s="210" t="inlineStr">
        <is>
          <t>③</t>
        </is>
      </c>
      <c r="B8" s="41" t="inlineStr">
        <is>
          <t>25.04.20</t>
        </is>
      </c>
      <c r="C8" s="199" t="inlineStr">
        <is>
          <t>노형동 720-1</t>
        </is>
      </c>
      <c r="D8" s="199" t="inlineStr">
        <is>
          <t>상가 / 2층</t>
        </is>
      </c>
      <c r="E8" s="198" t="n">
        <v>8.130000000000001</v>
      </c>
      <c r="F8" s="112" t="n"/>
      <c r="G8" s="51" t="n">
        <v>86000000</v>
      </c>
      <c r="H8" s="51">
        <f>G8/E8</f>
        <v/>
      </c>
      <c r="I8" s="199" t="n">
        <v>2002</v>
      </c>
      <c r="J8" s="112" t="n"/>
      <c r="K8" s="191" t="inlineStr">
        <is>
          <t>물건지 옆 건물(안쪽 건물)</t>
        </is>
      </c>
      <c r="L8" s="192" t="n"/>
    </row>
    <row r="9">
      <c r="A9" s="210" t="inlineStr">
        <is>
          <t>④</t>
        </is>
      </c>
      <c r="B9" s="41" t="inlineStr">
        <is>
          <t>25.04.20</t>
        </is>
      </c>
      <c r="C9" s="199" t="inlineStr">
        <is>
          <t>노형동 720-1</t>
        </is>
      </c>
      <c r="D9" s="199" t="inlineStr">
        <is>
          <t>상가 / 1층</t>
        </is>
      </c>
      <c r="E9" s="198" t="n">
        <v>57.34</v>
      </c>
      <c r="F9" s="112" t="n"/>
      <c r="G9" s="51" t="n">
        <v>572000000</v>
      </c>
      <c r="H9" s="51">
        <f>G9/E9</f>
        <v/>
      </c>
      <c r="I9" s="199" t="n">
        <v>2002</v>
      </c>
      <c r="J9" s="112" t="n"/>
      <c r="K9" s="191" t="inlineStr">
        <is>
          <t>물건지 옆 건물(안쪽 건물)</t>
        </is>
      </c>
      <c r="L9" s="192" t="n"/>
    </row>
    <row r="10" ht="18.2" customHeight="1" s="169">
      <c r="A10" s="210" t="inlineStr">
        <is>
          <t>⑤</t>
        </is>
      </c>
      <c r="B10" s="41" t="inlineStr">
        <is>
          <t>25.04.28</t>
        </is>
      </c>
      <c r="C10" s="199" t="inlineStr">
        <is>
          <t>노형동 920-13</t>
        </is>
      </c>
      <c r="D10" s="199" t="inlineStr">
        <is>
          <t>업무 / 15층</t>
        </is>
      </c>
      <c r="E10" s="198" t="n">
        <v>8.640000000000001</v>
      </c>
      <c r="F10" s="112" t="n"/>
      <c r="G10" s="51" t="n">
        <v>100000000</v>
      </c>
      <c r="H10" s="51">
        <f>G10/E10</f>
        <v/>
      </c>
      <c r="I10" s="199" t="n">
        <v>2012</v>
      </c>
      <c r="J10" s="112" t="n"/>
      <c r="K10" s="227" t="inlineStr">
        <is>
          <t>물건지 인근 안쪽 건물(주상복합 노형해든빌)</t>
        </is>
      </c>
      <c r="L10" s="192" t="n"/>
    </row>
    <row r="11" ht="18.2" customHeight="1" s="169">
      <c r="A11" s="210" t="inlineStr">
        <is>
          <t>⑥</t>
        </is>
      </c>
      <c r="B11" s="41" t="inlineStr">
        <is>
          <t>26.04.29</t>
        </is>
      </c>
      <c r="C11" s="199" t="inlineStr">
        <is>
          <t>노형동 924-1</t>
        </is>
      </c>
      <c r="D11" s="199" t="inlineStr">
        <is>
          <t>상가 / 1층</t>
        </is>
      </c>
      <c r="E11" s="198" t="n">
        <v>10.99</v>
      </c>
      <c r="F11" s="112" t="n"/>
      <c r="G11" s="51" t="n">
        <v>670000000</v>
      </c>
      <c r="H11" s="51">
        <f>G11/E11</f>
        <v/>
      </c>
      <c r="I11" s="199" t="n">
        <v>2019</v>
      </c>
      <c r="J11" s="112" t="n"/>
      <c r="K11" s="227" t="inlineStr">
        <is>
          <t>대로변 주상복합 단지내상가(이편한세상시티노형)</t>
        </is>
      </c>
      <c r="L11" s="192" t="n"/>
    </row>
    <row r="12">
      <c r="A12" s="210" t="inlineStr">
        <is>
          <t>⑧</t>
        </is>
      </c>
      <c r="B12" s="199" t="inlineStr">
        <is>
          <t>25.09.19</t>
        </is>
      </c>
      <c r="C12" s="199" t="inlineStr">
        <is>
          <t>노형동 732</t>
        </is>
      </c>
      <c r="D12" s="199" t="inlineStr">
        <is>
          <t>상가 / 1층</t>
        </is>
      </c>
      <c r="E12" s="198" t="n">
        <v>11.71</v>
      </c>
      <c r="F12" s="112" t="n"/>
      <c r="G12" s="51" t="n">
        <v>400000000</v>
      </c>
      <c r="H12" s="51">
        <f>G12/E12</f>
        <v/>
      </c>
      <c r="I12" s="224" t="n"/>
      <c r="J12" s="225" t="n"/>
      <c r="K12" s="226" t="inlineStr">
        <is>
          <t>안쪽 건물(원노형로변)</t>
        </is>
      </c>
      <c r="L12" s="225" t="n"/>
    </row>
    <row r="13">
      <c r="A13" s="42" t="inlineStr">
        <is>
          <t>⑬</t>
        </is>
      </c>
      <c r="B13" s="199" t="inlineStr">
        <is>
          <t>26.05.29</t>
        </is>
      </c>
      <c r="C13" s="199" t="inlineStr">
        <is>
          <t>노형동 3794-11</t>
        </is>
      </c>
      <c r="D13" s="199" t="inlineStr">
        <is>
          <t>통건물</t>
        </is>
      </c>
      <c r="E13" s="198" t="n">
        <v>329.64</v>
      </c>
      <c r="F13" s="112" t="n"/>
      <c r="G13" s="51" t="n">
        <v>5000000000</v>
      </c>
      <c r="H13" s="51">
        <f>G13/E13</f>
        <v/>
      </c>
      <c r="I13" s="224" t="n">
        <v>2025</v>
      </c>
      <c r="J13" s="225" t="n"/>
      <c r="K13" s="226" t="inlineStr">
        <is>
          <t>물건지 서측 안쪽 건물(25년 신축)</t>
        </is>
      </c>
      <c r="L13" s="225" t="n"/>
    </row>
    <row r="14">
      <c r="A14" s="210" t="inlineStr">
        <is>
          <t>⑭</t>
        </is>
      </c>
      <c r="B14" s="41" t="inlineStr">
        <is>
          <t>25.10.15</t>
        </is>
      </c>
      <c r="C14" s="199" t="inlineStr">
        <is>
          <t>노형동 1064-1</t>
        </is>
      </c>
      <c r="D14" s="199" t="inlineStr">
        <is>
          <t>통건물</t>
        </is>
      </c>
      <c r="E14" s="198" t="n">
        <v>335.53</v>
      </c>
      <c r="F14" s="112" t="n"/>
      <c r="G14" s="51" t="n">
        <v>4380000000</v>
      </c>
      <c r="H14" s="51">
        <f>G14/E14</f>
        <v/>
      </c>
      <c r="I14" s="199" t="n">
        <v>1997</v>
      </c>
      <c r="J14" s="112" t="n"/>
      <c r="K14" s="191" t="inlineStr">
        <is>
          <t>대로변 건물(월랑로)</t>
        </is>
      </c>
      <c r="L14" s="192" t="n"/>
    </row>
    <row r="15" ht="17.25" customHeight="1" s="169" thickBot="1">
      <c r="A15" s="210" t="inlineStr">
        <is>
          <t>⑮</t>
        </is>
      </c>
      <c r="B15" s="41" t="inlineStr">
        <is>
          <t>25.02.24</t>
        </is>
      </c>
      <c r="C15" s="199" t="inlineStr">
        <is>
          <t>노형동 1055-9</t>
        </is>
      </c>
      <c r="D15" s="199" t="inlineStr">
        <is>
          <t>통건물</t>
        </is>
      </c>
      <c r="E15" s="198" t="n">
        <v>361.27</v>
      </c>
      <c r="F15" s="112" t="n"/>
      <c r="G15" s="51" t="n">
        <v>2240900000</v>
      </c>
      <c r="H15" s="51">
        <f>G15/E15</f>
        <v/>
      </c>
      <c r="I15" s="199" t="n">
        <v>2003</v>
      </c>
      <c r="J15" s="112" t="n"/>
      <c r="K15" s="191" t="inlineStr">
        <is>
          <t>대로변 건물(월랑로)</t>
        </is>
      </c>
      <c r="L15" s="192" t="n"/>
    </row>
    <row r="16" ht="17.25" customFormat="1" customHeight="1" s="18" thickBot="1">
      <c r="A16" s="210" t="inlineStr">
        <is>
          <t>⑯</t>
        </is>
      </c>
      <c r="B16" s="41" t="inlineStr">
        <is>
          <t>24.09.19</t>
        </is>
      </c>
      <c r="C16" s="199" t="inlineStr">
        <is>
          <t>노형동 912</t>
        </is>
      </c>
      <c r="D16" s="199" t="inlineStr">
        <is>
          <t>통건물</t>
        </is>
      </c>
      <c r="E16" s="198" t="n">
        <v>41.54</v>
      </c>
      <c r="F16" s="112" t="n"/>
      <c r="G16" s="51" t="n">
        <v>2115110000</v>
      </c>
      <c r="H16" s="51">
        <f>G16/E16</f>
        <v/>
      </c>
      <c r="I16" s="199" t="n">
        <v>1996</v>
      </c>
      <c r="J16" s="112" t="n"/>
      <c r="K16" s="191" t="inlineStr">
        <is>
          <t>안쪽 건물</t>
        </is>
      </c>
      <c r="L16" s="192" t="n"/>
    </row>
    <row r="17">
      <c r="A17" s="210" t="inlineStr">
        <is>
          <t>⑰</t>
        </is>
      </c>
      <c r="B17" s="41" t="inlineStr">
        <is>
          <t>24.06.24</t>
        </is>
      </c>
      <c r="C17" s="199" t="inlineStr">
        <is>
          <t>노형동 3779-3</t>
        </is>
      </c>
      <c r="D17" s="199" t="inlineStr">
        <is>
          <t>통건물</t>
        </is>
      </c>
      <c r="E17" s="198" t="n">
        <v>877.3200000000001</v>
      </c>
      <c r="F17" s="112" t="n"/>
      <c r="G17" s="51" t="n">
        <v>9898160000</v>
      </c>
      <c r="H17" s="51">
        <f>G17/E17</f>
        <v/>
      </c>
      <c r="I17" s="199" t="n">
        <v>2017</v>
      </c>
      <c r="J17" s="112" t="n"/>
      <c r="K17" s="191" t="inlineStr">
        <is>
          <t>대로변 건물(노형오거리 인근)</t>
        </is>
      </c>
      <c r="L17" s="192" t="n"/>
    </row>
    <row r="18">
      <c r="A18" s="210" t="inlineStr">
        <is>
          <t>⑲</t>
        </is>
      </c>
      <c r="B18" s="41" t="inlineStr">
        <is>
          <t>26.01.28</t>
        </is>
      </c>
      <c r="C18" s="199" t="inlineStr">
        <is>
          <t>연동 304-1</t>
        </is>
      </c>
      <c r="D18" s="199" t="inlineStr">
        <is>
          <t>통건물</t>
        </is>
      </c>
      <c r="E18" s="198" t="n">
        <v>348.75</v>
      </c>
      <c r="F18" s="112" t="n"/>
      <c r="G18" s="51" t="n">
        <v>3280000000</v>
      </c>
      <c r="H18" s="51">
        <f>G18/E18</f>
        <v/>
      </c>
      <c r="I18" s="199" t="n">
        <v>1983</v>
      </c>
      <c r="J18" s="112" t="n"/>
      <c r="K18" s="191" t="inlineStr">
        <is>
          <t>대로변 건물(연동 신대로)</t>
        </is>
      </c>
      <c r="L18" s="192" t="n"/>
    </row>
    <row r="19">
      <c r="A19" s="210" t="inlineStr">
        <is>
          <t>⑳</t>
        </is>
      </c>
      <c r="B19" s="41" t="inlineStr">
        <is>
          <t>25.08.27</t>
        </is>
      </c>
      <c r="C19" s="199" t="inlineStr">
        <is>
          <t>연동 272-15</t>
        </is>
      </c>
      <c r="D19" s="199" t="inlineStr">
        <is>
          <t>통건물</t>
        </is>
      </c>
      <c r="E19" s="198" t="n">
        <v>282.73</v>
      </c>
      <c r="F19" s="112" t="n"/>
      <c r="G19" s="51" t="n">
        <v>4570000000</v>
      </c>
      <c r="H19" s="51">
        <f>G19/E19</f>
        <v/>
      </c>
      <c r="I19" s="199" t="n">
        <v>1981</v>
      </c>
      <c r="J19" s="112" t="n"/>
      <c r="K19" s="191" t="inlineStr">
        <is>
          <t>대로변 건물(연동 신광로)</t>
        </is>
      </c>
      <c r="L19" s="192" t="n"/>
    </row>
    <row r="20">
      <c r="A20" s="210" t="inlineStr">
        <is>
          <t>㉑</t>
        </is>
      </c>
      <c r="B20" s="41" t="inlineStr">
        <is>
          <t>25.06.05</t>
        </is>
      </c>
      <c r="C20" s="199" t="inlineStr">
        <is>
          <t>연동 273-3</t>
        </is>
      </c>
      <c r="D20" s="199" t="inlineStr">
        <is>
          <t>통건물</t>
        </is>
      </c>
      <c r="E20" s="198" t="n">
        <v>295.05</v>
      </c>
      <c r="F20" s="112" t="n"/>
      <c r="G20" s="51" t="n">
        <v>5500000000</v>
      </c>
      <c r="H20" s="51">
        <f>G20/E20</f>
        <v/>
      </c>
      <c r="I20" s="199" t="n">
        <v>1988</v>
      </c>
      <c r="J20" s="112" t="n"/>
      <c r="K20" s="191" t="inlineStr">
        <is>
          <t>대로변 건물(연동 신광로·업무시설)</t>
        </is>
      </c>
      <c r="L20" s="192" t="n"/>
    </row>
    <row r="21">
      <c r="A21" s="210" t="inlineStr">
        <is>
          <t>㉒</t>
        </is>
      </c>
      <c r="B21" s="41" t="inlineStr">
        <is>
          <t>25.04.03</t>
        </is>
      </c>
      <c r="C21" s="199" t="inlineStr">
        <is>
          <t>연동 273-14</t>
        </is>
      </c>
      <c r="D21" s="199" t="inlineStr">
        <is>
          <t>통건물</t>
        </is>
      </c>
      <c r="E21" s="198" t="n">
        <v>613.49</v>
      </c>
      <c r="F21" s="112" t="n"/>
      <c r="G21" s="51" t="n">
        <v>6050000000</v>
      </c>
      <c r="H21" s="51">
        <f>G21/E21</f>
        <v/>
      </c>
      <c r="I21" s="199" t="n">
        <v>2020</v>
      </c>
      <c r="J21" s="112" t="n"/>
      <c r="K21" s="191" t="inlineStr">
        <is>
          <t>안쪽 건물(연동 상권)</t>
        </is>
      </c>
      <c r="L21" s="192" t="n"/>
    </row>
    <row r="22">
      <c r="A22" s="210" t="inlineStr">
        <is>
          <t>㉓</t>
        </is>
      </c>
      <c r="B22" s="41" t="inlineStr">
        <is>
          <t>24.08.29</t>
        </is>
      </c>
      <c r="C22" s="199" t="inlineStr">
        <is>
          <t>연동 274-33</t>
        </is>
      </c>
      <c r="D22" s="199" t="inlineStr">
        <is>
          <t>통건물</t>
        </is>
      </c>
      <c r="E22" s="198" t="n">
        <v>297.39</v>
      </c>
      <c r="F22" s="112" t="n"/>
      <c r="G22" s="51" t="n">
        <v>5400000000</v>
      </c>
      <c r="H22" s="51">
        <f>G22/E22</f>
        <v/>
      </c>
      <c r="I22" s="199" t="n">
        <v>1983</v>
      </c>
      <c r="J22" s="112" t="n"/>
      <c r="K22" s="191" t="inlineStr">
        <is>
          <t>안쪽 건물(연동 상권)</t>
        </is>
      </c>
      <c r="L22" s="192" t="n"/>
    </row>
    <row r="23">
      <c r="A23" s="210" t="inlineStr">
        <is>
          <t>㉗</t>
        </is>
      </c>
      <c r="B23" s="41" t="inlineStr">
        <is>
          <t>24.08.09</t>
        </is>
      </c>
      <c r="C23" s="199" t="inlineStr">
        <is>
          <t>도남동 65-2</t>
        </is>
      </c>
      <c r="D23" s="199" t="inlineStr">
        <is>
          <t>통건물</t>
        </is>
      </c>
      <c r="E23" s="198" t="n">
        <v>127</v>
      </c>
      <c r="F23" s="112" t="n"/>
      <c r="G23" s="51" t="n">
        <v>2960000000</v>
      </c>
      <c r="H23" s="51">
        <f>G23/E23</f>
        <v/>
      </c>
      <c r="I23" s="199" t="n"/>
      <c r="J23" s="112" t="n"/>
      <c r="K23" s="191" t="inlineStr">
        <is>
          <t>대로변 건물(연삼로)</t>
        </is>
      </c>
      <c r="L23" s="192" t="n"/>
    </row>
    <row r="24">
      <c r="A24" s="210" t="inlineStr">
        <is>
          <t>㉘</t>
        </is>
      </c>
      <c r="B24" s="41" t="inlineStr">
        <is>
          <t>24.06.07</t>
        </is>
      </c>
      <c r="C24" s="199" t="inlineStr">
        <is>
          <t>용담삼동 2394</t>
        </is>
      </c>
      <c r="D24" s="199" t="inlineStr">
        <is>
          <t>통건물</t>
        </is>
      </c>
      <c r="E24" s="198" t="n">
        <v>760.92</v>
      </c>
      <c r="F24" s="112" t="n"/>
      <c r="G24" s="51" t="n">
        <v>8500000000</v>
      </c>
      <c r="H24" s="51">
        <f>G24/E24</f>
        <v/>
      </c>
      <c r="I24" s="199" t="n">
        <v>2017</v>
      </c>
      <c r="J24" s="112" t="n"/>
      <c r="K24" s="191" t="inlineStr">
        <is>
          <t>해안 대로변 건물(용담)</t>
        </is>
      </c>
      <c r="L24" s="192" t="n"/>
    </row>
    <row r="25" ht="22.5" customHeight="1" s="169">
      <c r="A25" s="210" t="inlineStr">
        <is>
          <t>㉙</t>
        </is>
      </c>
      <c r="B25" s="41" t="inlineStr">
        <is>
          <t>25.12.22</t>
        </is>
      </c>
      <c r="C25" s="199" t="inlineStr">
        <is>
          <t>외도일동 455-4</t>
        </is>
      </c>
      <c r="D25" s="199" t="inlineStr">
        <is>
          <t>통건물</t>
        </is>
      </c>
      <c r="E25" s="198" t="n">
        <v>263.34</v>
      </c>
      <c r="F25" s="112" t="n"/>
      <c r="G25" s="51" t="n">
        <v>5606900000</v>
      </c>
      <c r="H25" s="51">
        <f>G25/E25</f>
        <v/>
      </c>
      <c r="I25" s="199" t="n"/>
      <c r="J25" s="112" t="n"/>
      <c r="K25" s="191" t="inlineStr">
        <is>
          <t>안쪽 건물(외도)</t>
        </is>
      </c>
      <c r="L25" s="192" t="n"/>
    </row>
    <row r="26">
      <c r="A26" s="210" t="inlineStr">
        <is>
          <t>㉚</t>
        </is>
      </c>
      <c r="B26" s="41" t="inlineStr">
        <is>
          <t>26.02.02</t>
        </is>
      </c>
      <c r="C26" s="199" t="inlineStr">
        <is>
          <t>이도일동 1349-17</t>
        </is>
      </c>
      <c r="D26" s="199" t="inlineStr">
        <is>
          <t>통건물</t>
        </is>
      </c>
      <c r="E26" s="198" t="n">
        <v>1435.76</v>
      </c>
      <c r="F26" s="112" t="n"/>
      <c r="G26" s="51" t="n">
        <v>11131510000</v>
      </c>
      <c r="H26" s="51">
        <f>G26/E26</f>
        <v/>
      </c>
      <c r="I26" s="199" t="n">
        <v>1969</v>
      </c>
      <c r="J26" s="112" t="n"/>
      <c r="K26" s="191" t="inlineStr">
        <is>
          <t>구도심 대로변 건물(제주은행 사옥)</t>
        </is>
      </c>
      <c r="L26" s="192" t="n"/>
    </row>
    <row r="27" ht="17.25" customHeight="1" s="169" thickBot="1">
      <c r="A27" s="210" t="inlineStr">
        <is>
          <t>㉛</t>
        </is>
      </c>
      <c r="B27" s="41" t="inlineStr">
        <is>
          <t>26.06.15</t>
        </is>
      </c>
      <c r="C27" s="199" t="inlineStr">
        <is>
          <t>일도일동 1463</t>
        </is>
      </c>
      <c r="D27" s="199" t="inlineStr">
        <is>
          <t>통건물</t>
        </is>
      </c>
      <c r="E27" s="198" t="n">
        <v>243.28</v>
      </c>
      <c r="F27" s="112" t="n"/>
      <c r="G27" s="51" t="n">
        <v>3410000000</v>
      </c>
      <c r="H27" s="51">
        <f>G27/E27</f>
        <v/>
      </c>
      <c r="I27" s="199" t="n">
        <v>1978</v>
      </c>
      <c r="J27" s="112" t="n"/>
      <c r="K27" s="191" t="inlineStr">
        <is>
          <t>구도심 안쪽 건물(동문시장 인근)</t>
        </is>
      </c>
      <c r="L27" s="192" t="n"/>
    </row>
    <row r="28" customFormat="1" s="18">
      <c r="A28" s="210" t="inlineStr">
        <is>
          <t>㉜</t>
        </is>
      </c>
      <c r="B28" s="41" t="inlineStr">
        <is>
          <t>25.12.16</t>
        </is>
      </c>
      <c r="C28" s="199" t="inlineStr">
        <is>
          <t>일도이동 54-6(추정)</t>
        </is>
      </c>
      <c r="D28" s="199" t="inlineStr">
        <is>
          <t>통건물</t>
        </is>
      </c>
      <c r="E28" s="198" t="n">
        <v>1589.87</v>
      </c>
      <c r="F28" s="112" t="n"/>
      <c r="G28" s="51" t="n">
        <v>5905000000</v>
      </c>
      <c r="H28" s="51">
        <f>G28/E28</f>
        <v/>
      </c>
      <c r="I28" s="199" t="n">
        <v>1999</v>
      </c>
      <c r="J28" s="112" t="n"/>
      <c r="K28" s="191" t="inlineStr">
        <is>
          <t>안쪽 건물(일도지구)</t>
        </is>
      </c>
      <c r="L28" s="192" t="n"/>
    </row>
    <row r="29">
      <c r="A29" s="210" t="inlineStr">
        <is>
          <t>㉝</t>
        </is>
      </c>
      <c r="B29" s="41" t="inlineStr">
        <is>
          <t>24.04.25</t>
        </is>
      </c>
      <c r="C29" s="199" t="inlineStr">
        <is>
          <t>오등동 1730-8</t>
        </is>
      </c>
      <c r="D29" s="199" t="inlineStr">
        <is>
          <t>통건물</t>
        </is>
      </c>
      <c r="E29" s="198" t="n">
        <v>1489.98</v>
      </c>
      <c r="F29" s="112" t="n"/>
      <c r="G29" s="51" t="n">
        <v>15039380000</v>
      </c>
      <c r="H29" s="51">
        <f>G29/E29</f>
        <v/>
      </c>
      <c r="I29" s="199" t="n">
        <v>2006</v>
      </c>
      <c r="J29" s="112" t="n"/>
      <c r="K29" s="191" t="inlineStr">
        <is>
          <t>대로변 건물(오등동·대한적십자사 사옥)</t>
        </is>
      </c>
      <c r="L29" s="192" t="n"/>
    </row>
    <row r="30">
      <c r="A30" s="221" t="inlineStr">
        <is>
          <t>통건물 평균(연면적 평당)</t>
        </is>
      </c>
      <c r="B30" s="222" t="n"/>
      <c r="C30" s="112" t="n"/>
      <c r="D30" s="219" t="n"/>
      <c r="E30" s="264" t="n"/>
      <c r="F30" s="112" t="n"/>
      <c r="G30" s="265" t="n"/>
      <c r="H30" s="37">
        <f>AVERAGE(H13:H29)</f>
        <v/>
      </c>
      <c r="I30" s="249" t="n"/>
      <c r="J30" s="225" t="n"/>
      <c r="K30" s="229" t="n"/>
      <c r="L30" s="225" t="n"/>
    </row>
    <row r="31">
      <c r="A31" s="221" t="inlineStr">
        <is>
          <t>평균(집합 호실)</t>
        </is>
      </c>
      <c r="B31" s="222" t="n"/>
      <c r="C31" s="112" t="n"/>
      <c r="D31" s="219" t="n"/>
      <c r="E31" s="264" t="n"/>
      <c r="F31" s="112" t="n"/>
      <c r="G31" s="265" t="n"/>
      <c r="H31" s="37">
        <f>AVERAGE(H6:H12)</f>
        <v/>
      </c>
      <c r="I31" s="249" t="n"/>
      <c r="J31" s="225" t="n"/>
      <c r="K31" s="229" t="n"/>
      <c r="L31" s="225" t="n"/>
    </row>
    <row r="32" ht="21.6" customHeight="1" s="169">
      <c r="A32" s="197" t="inlineStr">
        <is>
          <t>1층 제외평균(집합)</t>
        </is>
      </c>
      <c r="B32" s="145" t="n"/>
      <c r="C32" s="159" t="n"/>
      <c r="D32" s="213" t="n"/>
      <c r="E32" s="266" t="n"/>
      <c r="F32" s="159" t="n"/>
      <c r="G32" s="267" t="n"/>
      <c r="H32" s="65">
        <f>AVERAGE(H6,H7,H8,H10)</f>
        <v/>
      </c>
      <c r="I32" s="214" t="n"/>
      <c r="J32" s="143" t="n"/>
      <c r="K32" s="215" t="n"/>
      <c r="L32" s="143" t="n"/>
    </row>
    <row r="33">
      <c r="A33" s="228" t="n"/>
    </row>
    <row r="34" ht="21.6" customHeight="1" s="169">
      <c r="A34" s="43" t="inlineStr">
        <is>
          <t>2) 인근 네이버 매물(호가, 노형동 710 반경 1km·숙박 제외)</t>
        </is>
      </c>
      <c r="B34" s="44" t="n"/>
      <c r="C34" s="44" t="n"/>
      <c r="D34" s="44" t="n"/>
      <c r="E34" s="44" t="n"/>
      <c r="F34" s="44" t="n"/>
      <c r="G34" s="44" t="n"/>
      <c r="H34" s="45" t="n"/>
      <c r="I34" s="44" t="n"/>
      <c r="J34" s="45" t="n"/>
      <c r="K34" s="45" t="n"/>
      <c r="L34" s="46" t="inlineStr">
        <is>
          <t>(단위: 원)</t>
        </is>
      </c>
    </row>
    <row r="35">
      <c r="A35" s="230" t="inlineStr">
        <is>
          <t>no</t>
        </is>
      </c>
      <c r="B35" s="194" t="inlineStr">
        <is>
          <t>주소</t>
        </is>
      </c>
      <c r="C35" s="151" t="n"/>
      <c r="D35" s="194" t="inlineStr">
        <is>
          <t>종류</t>
        </is>
      </c>
      <c r="E35" s="208" t="inlineStr">
        <is>
          <t>전용면적(평)</t>
        </is>
      </c>
      <c r="F35" s="209" t="n"/>
      <c r="G35" s="194" t="inlineStr">
        <is>
          <t>매매가</t>
        </is>
      </c>
      <c r="H35" s="194" t="inlineStr">
        <is>
          <t>평당가
(토지)</t>
        </is>
      </c>
      <c r="I35" s="235" t="inlineStr">
        <is>
          <t>비고
사용승인 / 기보증금</t>
        </is>
      </c>
      <c r="J35" s="151" t="n"/>
      <c r="K35" s="205" t="inlineStr">
        <is>
          <t>기보증금</t>
        </is>
      </c>
      <c r="L35" s="206" t="n"/>
    </row>
    <row r="36">
      <c r="A36" s="161" t="n"/>
      <c r="B36" s="195" t="n"/>
      <c r="C36" s="196" t="n"/>
      <c r="D36" s="234" t="n"/>
      <c r="E36" s="130" t="n"/>
      <c r="F36" s="152" t="n"/>
      <c r="G36" s="234" t="n"/>
      <c r="H36" s="234" t="n"/>
      <c r="I36" s="130" t="n"/>
      <c r="J36" s="152" t="n"/>
      <c r="K36" s="130" t="n"/>
      <c r="L36" s="207" t="n"/>
    </row>
    <row r="37">
      <c r="A37" s="210" t="inlineStr">
        <is>
          <t>①</t>
        </is>
      </c>
      <c r="B37" s="199" t="inlineStr">
        <is>
          <t>노형동 924-1</t>
        </is>
      </c>
      <c r="C37" s="112" t="n"/>
      <c r="D37" s="199" t="inlineStr">
        <is>
          <t>상가 / 1층</t>
        </is>
      </c>
      <c r="E37" s="198" t="n">
        <v>10.89</v>
      </c>
      <c r="F37" s="112" t="n"/>
      <c r="G37" s="51" t="n">
        <v>700000000</v>
      </c>
      <c r="H37" s="51">
        <f>G37/E37</f>
        <v/>
      </c>
      <c r="I37" s="199" t="n">
        <v>2019</v>
      </c>
      <c r="J37" s="112" t="n"/>
      <c r="K37" s="187" t="inlineStr">
        <is>
          <t>이편한세상시티노형 단지내상가(255m)</t>
        </is>
      </c>
      <c r="L37" s="188" t="n"/>
    </row>
    <row r="38">
      <c r="A38" s="210" t="inlineStr">
        <is>
          <t>②</t>
        </is>
      </c>
      <c r="B38" s="199" t="inlineStr">
        <is>
          <t>노형동 924-1</t>
        </is>
      </c>
      <c r="C38" s="112" t="n"/>
      <c r="D38" s="199" t="inlineStr">
        <is>
          <t>상가 / 1층</t>
        </is>
      </c>
      <c r="E38" s="198" t="n">
        <v>17.85</v>
      </c>
      <c r="F38" s="112" t="n"/>
      <c r="G38" s="51" t="n">
        <v>800000000</v>
      </c>
      <c r="H38" s="51">
        <f>G38/E38</f>
        <v/>
      </c>
      <c r="I38" s="199" t="n">
        <v>2019</v>
      </c>
      <c r="J38" s="112" t="n"/>
      <c r="K38" s="187" t="inlineStr">
        <is>
          <t>급매·대도로변 1층, 부가세별도(255m)</t>
        </is>
      </c>
      <c r="L38" s="188" t="n"/>
    </row>
    <row r="39">
      <c r="A39" s="210" t="inlineStr">
        <is>
          <t>③</t>
        </is>
      </c>
      <c r="B39" s="199" t="inlineStr">
        <is>
          <t>노형동 924-1</t>
        </is>
      </c>
      <c r="C39" s="112" t="n"/>
      <c r="D39" s="199" t="inlineStr">
        <is>
          <t>상가 / 1층</t>
        </is>
      </c>
      <c r="E39" s="198" t="n">
        <v>11.8</v>
      </c>
      <c r="F39" s="112" t="n"/>
      <c r="G39" s="51" t="n">
        <v>630000000</v>
      </c>
      <c r="H39" s="51">
        <f>G39/E39</f>
        <v/>
      </c>
      <c r="I39" s="199" t="n">
        <v>2019</v>
      </c>
      <c r="J39" s="112" t="n"/>
      <c r="K39" s="187" t="inlineStr">
        <is>
          <t>복합상가(255m)</t>
        </is>
      </c>
      <c r="L39" s="188" t="n"/>
    </row>
    <row r="40">
      <c r="A40" s="210" t="inlineStr">
        <is>
          <t>④</t>
        </is>
      </c>
      <c r="B40" s="199" t="inlineStr">
        <is>
          <t>노형동 711-2</t>
        </is>
      </c>
      <c r="C40" s="112" t="n"/>
      <c r="D40" s="199" t="inlineStr">
        <is>
          <t>사무실 / 2층</t>
        </is>
      </c>
      <c r="E40" s="198" t="n">
        <v>24.2</v>
      </c>
      <c r="F40" s="112" t="n"/>
      <c r="G40" s="51" t="n">
        <v>370000000</v>
      </c>
      <c r="H40" s="51">
        <f>G40/E40</f>
        <v/>
      </c>
      <c r="I40" s="199" t="n">
        <v>2003</v>
      </c>
      <c r="J40" s="112" t="n"/>
      <c r="K40" s="187" t="inlineStr">
        <is>
          <t>연북로 대도로변, 본건 인접(94m)</t>
        </is>
      </c>
      <c r="L40" s="188" t="n"/>
    </row>
    <row r="41">
      <c r="A41" s="210" t="inlineStr">
        <is>
          <t>⑤</t>
        </is>
      </c>
      <c r="B41" s="199" t="inlineStr">
        <is>
          <t>노형동 905-3</t>
        </is>
      </c>
      <c r="C41" s="112" t="n"/>
      <c r="D41" s="199" t="inlineStr">
        <is>
          <t>사무실 / 2층</t>
        </is>
      </c>
      <c r="E41" s="198" t="n">
        <v>143.08</v>
      </c>
      <c r="F41" s="112" t="n"/>
      <c r="G41" s="51" t="n">
        <v>700000000</v>
      </c>
      <c r="H41" s="51">
        <f>G41/E41</f>
        <v/>
      </c>
      <c r="I41" s="199" t="n">
        <v>1991</v>
      </c>
      <c r="J41" s="112" t="n"/>
      <c r="K41" s="187" t="inlineStr">
        <is>
          <t xml:space="preserve">1200 / 100 </t>
        </is>
      </c>
      <c r="L41" s="188" t="n"/>
    </row>
    <row r="42">
      <c r="A42" s="210" t="inlineStr">
        <is>
          <t>⑥</t>
        </is>
      </c>
      <c r="B42" s="199" t="inlineStr">
        <is>
          <t>노형동 936-11</t>
        </is>
      </c>
      <c r="C42" s="112" t="n"/>
      <c r="D42" s="199" t="inlineStr">
        <is>
          <t>통건물 / 1층</t>
        </is>
      </c>
      <c r="E42" s="198" t="n">
        <v>42.35</v>
      </c>
      <c r="F42" s="112" t="n"/>
      <c r="G42" s="51" t="n">
        <v>950000000</v>
      </c>
      <c r="H42" s="51">
        <f>G42/E42</f>
        <v/>
      </c>
      <c r="I42" s="199" t="n">
        <v>2021</v>
      </c>
      <c r="J42" s="112" t="n"/>
      <c r="K42" s="187" t="inlineStr">
        <is>
          <t>1층 상가건물 통매매(80m)</t>
        </is>
      </c>
      <c r="L42" s="188" t="n"/>
    </row>
    <row r="43">
      <c r="A43" s="210" t="inlineStr">
        <is>
          <t>⑦</t>
        </is>
      </c>
      <c r="B43" s="199" t="inlineStr">
        <is>
          <t>노형동 3785-3</t>
        </is>
      </c>
      <c r="C43" s="112" t="n"/>
      <c r="D43" s="47" t="inlineStr">
        <is>
          <t>통건물 / 5층</t>
        </is>
      </c>
      <c r="E43" s="198" t="n">
        <v>378.12</v>
      </c>
      <c r="F43" s="112" t="n"/>
      <c r="G43" s="51" t="n">
        <v>3950000000</v>
      </c>
      <c r="H43" s="51">
        <f>G43/E43</f>
        <v/>
      </c>
      <c r="I43" s="199" t="n">
        <v>2020</v>
      </c>
      <c r="J43" s="112" t="n"/>
      <c r="K43" s="187" t="inlineStr">
        <is>
          <t>이마트 인근 공실없는 5층 건물 통매매(310m)</t>
        </is>
      </c>
      <c r="L43" s="188" t="n"/>
    </row>
    <row r="44">
      <c r="A44" s="210" t="inlineStr">
        <is>
          <t>⑧</t>
        </is>
      </c>
      <c r="B44" s="199" t="inlineStr">
        <is>
          <t>노형동 945-9</t>
        </is>
      </c>
      <c r="C44" s="112" t="n"/>
      <c r="D44" s="47" t="inlineStr">
        <is>
          <t>통건물 / 5층</t>
        </is>
      </c>
      <c r="E44" s="198" t="n">
        <v>152.76</v>
      </c>
      <c r="F44" s="112" t="n"/>
      <c r="G44" s="51" t="n">
        <v>3700000000</v>
      </c>
      <c r="H44" s="51">
        <f>G44/E44</f>
        <v/>
      </c>
      <c r="I44" s="199" t="n">
        <v>2022</v>
      </c>
      <c r="J44" s="112" t="n"/>
      <c r="K44" s="237" t="inlineStr">
        <is>
          <t>연북로 인근 상가건물 통매매(308m)</t>
        </is>
      </c>
      <c r="L44" s="188" t="n"/>
    </row>
    <row r="45">
      <c r="A45" s="210" t="inlineStr">
        <is>
          <t>⑨</t>
        </is>
      </c>
      <c r="B45" s="199" t="inlineStr">
        <is>
          <t>노형동 940</t>
        </is>
      </c>
      <c r="C45" s="112" t="n"/>
      <c r="D45" s="47" t="inlineStr">
        <is>
          <t>통건물 / 5층</t>
        </is>
      </c>
      <c r="E45" s="198" t="n">
        <v>665.8</v>
      </c>
      <c r="F45" s="112" t="n"/>
      <c r="G45" s="51" t="n">
        <v>9800000000</v>
      </c>
      <c r="H45" s="51">
        <f>G45/E45</f>
        <v/>
      </c>
      <c r="I45" s="199" t="n">
        <v>2017</v>
      </c>
      <c r="J45" s="112" t="n"/>
      <c r="K45" s="187" t="inlineStr">
        <is>
          <t>전층 임대완료 수익형 빌딩 통매매(426m)</t>
        </is>
      </c>
      <c r="L45" s="188" t="n"/>
    </row>
    <row r="46">
      <c r="A46" s="210" t="inlineStr">
        <is>
          <t>⑩</t>
        </is>
      </c>
      <c r="B46" s="199" t="inlineStr">
        <is>
          <t>노형동 710-3</t>
        </is>
      </c>
      <c r="C46" s="112" t="n"/>
      <c r="D46" s="47" t="inlineStr">
        <is>
          <t>통건물 / 4층</t>
        </is>
      </c>
      <c r="E46" s="198" t="n">
        <v>1122.27</v>
      </c>
      <c r="F46" s="112" t="n"/>
      <c r="G46" s="51" t="n">
        <v>38000000000</v>
      </c>
      <c r="H46" s="51">
        <f>G46/E46</f>
        <v/>
      </c>
      <c r="I46" s="199" t="n">
        <v>2012</v>
      </c>
      <c r="J46" s="112" t="n"/>
      <c r="K46" s="187" t="inlineStr">
        <is>
          <t>본건 바로 옆 필지 빌딩 통매매(97m)</t>
        </is>
      </c>
      <c r="L46" s="188" t="n"/>
    </row>
    <row r="47">
      <c r="A47" s="221" t="inlineStr">
        <is>
          <t>평균</t>
        </is>
      </c>
      <c r="B47" s="222" t="n"/>
      <c r="C47" s="112" t="n"/>
      <c r="D47" s="219" t="n"/>
      <c r="E47" s="264" t="n"/>
      <c r="F47" s="112" t="n"/>
      <c r="G47" s="265" t="n"/>
      <c r="H47" s="37">
        <f>AVERAGE(H37:H46)</f>
        <v/>
      </c>
      <c r="I47" s="219" t="n"/>
      <c r="J47" s="112" t="n"/>
      <c r="K47" s="220" t="n"/>
      <c r="L47" s="188" t="n"/>
    </row>
    <row r="48">
      <c r="A48" s="197" t="inlineStr">
        <is>
          <t>1층 및 통건물 제외평균</t>
        </is>
      </c>
      <c r="B48" s="145" t="n"/>
      <c r="C48" s="159" t="n"/>
      <c r="D48" s="213" t="n"/>
      <c r="E48" s="266" t="n"/>
      <c r="F48" s="159" t="n"/>
      <c r="G48" s="267" t="n"/>
      <c r="H48" s="65">
        <f>AVERAGE(H40,H41)</f>
        <v/>
      </c>
      <c r="I48" s="213" t="n"/>
      <c r="J48" s="159" t="n"/>
      <c r="K48" s="232" t="n"/>
      <c r="L48" s="233" t="n"/>
    </row>
    <row r="49">
      <c r="A49" s="223" t="n"/>
    </row>
    <row r="50">
      <c r="A50" s="38" t="inlineStr">
        <is>
          <t>3) 유사 경매사례(제주시 권역, 26.05~26.06 매각·매각허가)</t>
        </is>
      </c>
      <c r="B50" s="39" t="n"/>
      <c r="C50" s="39" t="n"/>
      <c r="D50" s="39" t="n"/>
      <c r="E50" s="39" t="n"/>
      <c r="F50" s="39" t="n"/>
      <c r="G50" s="39" t="n"/>
      <c r="H50" s="40" t="n"/>
      <c r="I50" s="39" t="n"/>
      <c r="J50" s="66" t="n"/>
      <c r="K50" s="39" t="n"/>
      <c r="L50" s="66" t="inlineStr">
        <is>
          <t>(단위: 원)</t>
        </is>
      </c>
    </row>
    <row r="51" ht="24" customHeight="1" s="169">
      <c r="A51" s="48" t="inlineStr">
        <is>
          <t>no</t>
        </is>
      </c>
      <c r="B51" s="194" t="inlineStr">
        <is>
          <t>낙찰일</t>
        </is>
      </c>
      <c r="C51" s="194" t="inlineStr">
        <is>
          <t>사건번호</t>
        </is>
      </c>
      <c r="D51" s="49" t="inlineStr">
        <is>
          <t>주소</t>
        </is>
      </c>
      <c r="E51" s="194" t="inlineStr">
        <is>
          <t>종류</t>
        </is>
      </c>
      <c r="F51" s="194" t="inlineStr">
        <is>
          <t>면적(㎡)</t>
        </is>
      </c>
      <c r="G51" s="194" t="inlineStr">
        <is>
          <t>법사가</t>
        </is>
      </c>
      <c r="H51" s="194" t="inlineStr">
        <is>
          <t>낙찰금액</t>
        </is>
      </c>
      <c r="I51" s="194" t="inlineStr">
        <is>
          <t>낙찰가율</t>
        </is>
      </c>
      <c r="J51" s="50" t="inlineStr">
        <is>
          <t>낙찰 평단가
(토지,건물합산)</t>
        </is>
      </c>
      <c r="K51" s="194" t="inlineStr">
        <is>
          <t>응찰자</t>
        </is>
      </c>
      <c r="L51" s="50" t="inlineStr">
        <is>
          <t>비고</t>
        </is>
      </c>
    </row>
    <row r="52" ht="22.5" customHeight="1" s="169">
      <c r="A52" s="210" t="inlineStr">
        <is>
          <t>①</t>
        </is>
      </c>
      <c r="B52" s="199" t="inlineStr">
        <is>
          <t>26.05.19</t>
        </is>
      </c>
      <c r="C52" s="199" t="inlineStr">
        <is>
          <t>2024-36376</t>
        </is>
      </c>
      <c r="D52" s="199" t="inlineStr">
        <is>
          <t>연동 1454</t>
        </is>
      </c>
      <c r="E52" s="199" t="inlineStr">
        <is>
          <t>근린상가
(2층 244호, 나인몰)</t>
        </is>
      </c>
      <c r="F52" s="199" t="inlineStr">
        <is>
          <t>토지 25.63㎡(8평)</t>
        </is>
      </c>
      <c r="G52" s="268" t="n">
        <v>318000000</v>
      </c>
      <c r="H52" s="268" t="n">
        <v>38888880</v>
      </c>
      <c r="I52" s="202" t="n">
        <v>0.12</v>
      </c>
      <c r="J52" s="269" t="n">
        <v>2249489</v>
      </c>
      <c r="K52" s="189" t="inlineStr">
        <is>
          <t>1명</t>
        </is>
      </c>
      <c r="L52" s="189" t="inlineStr">
        <is>
          <t>제주8계(1.1km)</t>
        </is>
      </c>
    </row>
    <row r="53" ht="22.5" customHeight="1" s="169">
      <c r="A53" s="161" t="n"/>
      <c r="B53" s="116" t="n"/>
      <c r="C53" s="116" t="n"/>
      <c r="D53" s="116" t="n"/>
      <c r="E53" s="116" t="n"/>
      <c r="F53" s="199" t="inlineStr">
        <is>
          <t>건물 31.52㎡(10평)</t>
        </is>
      </c>
      <c r="G53" s="116" t="n"/>
      <c r="H53" s="116" t="n"/>
      <c r="I53" s="116" t="n"/>
      <c r="J53" s="190" t="n"/>
      <c r="K53" s="190" t="n"/>
      <c r="L53" s="190" t="n"/>
    </row>
    <row r="54" ht="22.5" customHeight="1" s="169">
      <c r="A54" s="210" t="inlineStr">
        <is>
          <t>②</t>
        </is>
      </c>
      <c r="B54" s="199" t="inlineStr">
        <is>
          <t>26.06.16</t>
        </is>
      </c>
      <c r="C54" s="199" t="inlineStr">
        <is>
          <t>2025-7375(1)</t>
        </is>
      </c>
      <c r="D54" s="199" t="inlineStr">
        <is>
          <t>연동 290-42</t>
        </is>
      </c>
      <c r="E54" s="199" t="inlineStr">
        <is>
          <t>근린상가
(1층 101호, 천마에코피아)</t>
        </is>
      </c>
      <c r="F54" s="199" t="inlineStr">
        <is>
          <t>토지 29.531㎡(9평)</t>
        </is>
      </c>
      <c r="G54" s="268" t="n">
        <v>621000000</v>
      </c>
      <c r="H54" s="268" t="n">
        <v>304295000</v>
      </c>
      <c r="I54" s="202" t="n">
        <v>0.49</v>
      </c>
      <c r="J54" s="269" t="n">
        <v>8682997</v>
      </c>
      <c r="K54" s="189" t="inlineStr">
        <is>
          <t>1명</t>
        </is>
      </c>
      <c r="L54" s="189" t="inlineStr">
        <is>
          <t>제주6계(1.7km)</t>
        </is>
      </c>
    </row>
    <row r="55" ht="22.5" customHeight="1" s="169">
      <c r="A55" s="161" t="n"/>
      <c r="B55" s="116" t="n"/>
      <c r="C55" s="116" t="n"/>
      <c r="D55" s="116" t="n"/>
      <c r="E55" s="116" t="n"/>
      <c r="F55" s="199" t="inlineStr">
        <is>
          <t>건물 86.32㎡(26평)</t>
        </is>
      </c>
      <c r="G55" s="116" t="n"/>
      <c r="H55" s="116" t="n"/>
      <c r="I55" s="116" t="n"/>
      <c r="J55" s="190" t="n"/>
      <c r="K55" s="190" t="n"/>
      <c r="L55" s="190" t="n"/>
    </row>
    <row r="56" ht="22.5" customHeight="1" s="169">
      <c r="A56" s="210" t="inlineStr">
        <is>
          <t>③</t>
        </is>
      </c>
      <c r="B56" s="199" t="inlineStr">
        <is>
          <t>26.05.26</t>
        </is>
      </c>
      <c r="C56" s="199" t="inlineStr">
        <is>
          <t>2025-1020</t>
        </is>
      </c>
      <c r="D56" s="199" t="inlineStr">
        <is>
          <t>노형동 133</t>
        </is>
      </c>
      <c r="E56" s="199" t="inlineStr">
        <is>
          <t>근린상가
(2층 201호, 엘리시아빌)</t>
        </is>
      </c>
      <c r="F56" s="199" t="inlineStr">
        <is>
          <t>토지 301.26㎡(91평)</t>
        </is>
      </c>
      <c r="G56" s="268" t="n">
        <v>767000000</v>
      </c>
      <c r="H56" s="268" t="n">
        <v>462200000</v>
      </c>
      <c r="I56" s="202" t="n">
        <v>0.6</v>
      </c>
      <c r="J56" s="269" t="n">
        <v>3158063</v>
      </c>
      <c r="K56" s="189" t="inlineStr">
        <is>
          <t>1명</t>
        </is>
      </c>
      <c r="L56" s="189" t="inlineStr">
        <is>
          <t>제주10계(1.7km)</t>
        </is>
      </c>
    </row>
    <row r="57" ht="22.5" customHeight="1" s="169">
      <c r="A57" s="161" t="n"/>
      <c r="B57" s="116" t="n"/>
      <c r="C57" s="116" t="n"/>
      <c r="D57" s="116" t="n"/>
      <c r="E57" s="116" t="n"/>
      <c r="F57" s="199" t="inlineStr">
        <is>
          <t>건물 182.56㎡(55평)</t>
        </is>
      </c>
      <c r="G57" s="116" t="n"/>
      <c r="H57" s="116" t="n"/>
      <c r="I57" s="116" t="n"/>
      <c r="J57" s="190" t="n"/>
      <c r="K57" s="190" t="n"/>
      <c r="L57" s="190" t="n"/>
    </row>
    <row r="58" ht="22.5" customHeight="1" s="169">
      <c r="A58" s="210" t="inlineStr">
        <is>
          <t>④</t>
        </is>
      </c>
      <c r="B58" s="199" t="inlineStr">
        <is>
          <t>26.06.16</t>
        </is>
      </c>
      <c r="C58" s="199" t="inlineStr">
        <is>
          <t>2025-8443</t>
        </is>
      </c>
      <c r="D58" s="199" t="inlineStr">
        <is>
          <t>노형동 3652 외 2</t>
        </is>
      </c>
      <c r="E58" s="199" t="inlineStr">
        <is>
          <t>위험물저장·처리시설</t>
        </is>
      </c>
      <c r="F58" s="199" t="inlineStr">
        <is>
          <t>토지 8617㎡(2607평)</t>
        </is>
      </c>
      <c r="G58" s="268" t="n">
        <v>12013332700</v>
      </c>
      <c r="H58" s="268" t="n">
        <v>10000000000</v>
      </c>
      <c r="I58" s="202" t="n">
        <v>0.83</v>
      </c>
      <c r="J58" s="269" t="n">
        <v>3041047</v>
      </c>
      <c r="K58" s="189" t="inlineStr">
        <is>
          <t>1명</t>
        </is>
      </c>
      <c r="L58" s="189" t="inlineStr">
        <is>
          <t>제주6계(2.0km)</t>
        </is>
      </c>
    </row>
    <row r="59" ht="22.5" customHeight="1" s="169">
      <c r="A59" s="161" t="n"/>
      <c r="B59" s="116" t="n"/>
      <c r="C59" s="116" t="n"/>
      <c r="D59" s="116" t="n"/>
      <c r="E59" s="116" t="n"/>
      <c r="F59" s="199" t="inlineStr">
        <is>
          <t>건물 2253.55㎡(682평)</t>
        </is>
      </c>
      <c r="G59" s="116" t="n"/>
      <c r="H59" s="116" t="n"/>
      <c r="I59" s="116" t="n"/>
      <c r="J59" s="190" t="n"/>
      <c r="K59" s="190" t="n"/>
      <c r="L59" s="190" t="n"/>
    </row>
    <row r="60" ht="22.5" customHeight="1" s="169">
      <c r="A60" s="210" t="inlineStr">
        <is>
          <t>⑤</t>
        </is>
      </c>
      <c r="B60" s="199" t="inlineStr">
        <is>
          <t>26.05.19</t>
        </is>
      </c>
      <c r="C60" s="199" t="inlineStr">
        <is>
          <t>2024-12943</t>
        </is>
      </c>
      <c r="D60" s="199" t="inlineStr">
        <is>
          <t>용담삼동 2296-2 외</t>
        </is>
      </c>
      <c r="E60" s="199" t="inlineStr">
        <is>
          <t>근린생활시설</t>
        </is>
      </c>
      <c r="F60" s="199" t="inlineStr">
        <is>
          <t>토지 4331㎡(1310평)</t>
        </is>
      </c>
      <c r="G60" s="268" t="n">
        <v>6441329000</v>
      </c>
      <c r="H60" s="268" t="n">
        <v>3500000000</v>
      </c>
      <c r="I60" s="202" t="n">
        <v>0.54</v>
      </c>
      <c r="J60" s="269" t="n">
        <v>2318501</v>
      </c>
      <c r="K60" s="189" t="inlineStr">
        <is>
          <t>1명</t>
        </is>
      </c>
      <c r="L60" s="189" t="inlineStr">
        <is>
          <t>제주5계(4.1km)</t>
        </is>
      </c>
    </row>
    <row r="61" ht="22.5" customHeight="1" s="169">
      <c r="A61" s="161" t="n"/>
      <c r="B61" s="116" t="n"/>
      <c r="C61" s="116" t="n"/>
      <c r="D61" s="116" t="n"/>
      <c r="E61" s="116" t="n"/>
      <c r="F61" s="199" t="inlineStr">
        <is>
          <t>건물 659.4㎡(199평)</t>
        </is>
      </c>
      <c r="G61" s="116" t="n"/>
      <c r="H61" s="116" t="n"/>
      <c r="I61" s="116" t="n"/>
      <c r="J61" s="190" t="n"/>
      <c r="K61" s="190" t="n"/>
      <c r="L61" s="190" t="n"/>
    </row>
    <row r="62" ht="22.5" customHeight="1" s="169">
      <c r="A62" s="210" t="inlineStr">
        <is>
          <t>⑥</t>
        </is>
      </c>
      <c r="B62" s="199" t="inlineStr">
        <is>
          <t>26.06.09</t>
        </is>
      </c>
      <c r="C62" s="199" t="inlineStr">
        <is>
          <t>2024-9633(2)</t>
        </is>
      </c>
      <c r="D62" s="199" t="inlineStr">
        <is>
          <t>안덕면 동광리 1602</t>
        </is>
      </c>
      <c r="E62" s="199" t="inlineStr">
        <is>
          <t>근린상가
(2층 2206호, 마마뜰)</t>
        </is>
      </c>
      <c r="F62" s="199" t="inlineStr">
        <is>
          <t>토지 92.9944㎡(28평)</t>
        </is>
      </c>
      <c r="G62" s="268" t="n">
        <v>294000000</v>
      </c>
      <c r="H62" s="268" t="n">
        <v>55000000</v>
      </c>
      <c r="I62" s="202" t="n">
        <v>0.19</v>
      </c>
      <c r="J62" s="269" t="n">
        <v>1190265</v>
      </c>
      <c r="K62" s="189" t="inlineStr">
        <is>
          <t>1명</t>
        </is>
      </c>
      <c r="L62" s="189" t="inlineStr">
        <is>
          <t>제주3계(23.7km)</t>
        </is>
      </c>
    </row>
    <row r="63" ht="22.5" customHeight="1" s="169">
      <c r="A63" s="161" t="n"/>
      <c r="B63" s="116" t="n"/>
      <c r="C63" s="116" t="n"/>
      <c r="D63" s="116" t="n"/>
      <c r="E63" s="116" t="n"/>
      <c r="F63" s="199" t="inlineStr">
        <is>
          <t>건물 59.76㎡(18평)</t>
        </is>
      </c>
      <c r="G63" s="116" t="n"/>
      <c r="H63" s="116" t="n"/>
      <c r="I63" s="116" t="n"/>
      <c r="J63" s="190" t="n"/>
      <c r="K63" s="190" t="n"/>
      <c r="L63" s="190" t="n"/>
    </row>
    <row r="64">
      <c r="A64" s="244" t="inlineStr">
        <is>
          <t>평균</t>
        </is>
      </c>
      <c r="B64" s="245" t="n"/>
      <c r="C64" s="245" t="n"/>
      <c r="D64" s="245" t="n"/>
      <c r="E64" s="245" t="n"/>
      <c r="F64" s="157" t="n"/>
      <c r="G64" s="270">
        <f>AVERAGE(G52:G63)</f>
        <v/>
      </c>
      <c r="H64" s="270">
        <f>AVERAGE(H52:H63)</f>
        <v/>
      </c>
      <c r="I64" s="218">
        <f>AVERAGE(I52,I54,I56,I58,I60,I62)</f>
        <v/>
      </c>
      <c r="J64" s="271">
        <f>AVERAGE(J52,J54,J56,J58,J60,J62)</f>
        <v/>
      </c>
      <c r="K64" s="231" t="inlineStr">
        <is>
          <t>1명</t>
        </is>
      </c>
      <c r="L64" s="231" t="n"/>
    </row>
    <row r="65">
      <c r="A65" s="246" t="n"/>
      <c r="B65" s="247" t="n"/>
      <c r="C65" s="247" t="n"/>
      <c r="D65" s="247" t="n"/>
      <c r="E65" s="247" t="n"/>
      <c r="F65" s="248" t="n"/>
      <c r="G65" s="217" t="n"/>
      <c r="H65" s="217" t="n"/>
      <c r="I65" s="217" t="n"/>
      <c r="J65" s="204" t="n"/>
      <c r="K65" s="204" t="n"/>
      <c r="L65" s="204" t="n"/>
    </row>
    <row r="66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52" t="n"/>
    </row>
    <row r="67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52" t="n"/>
    </row>
  </sheetData>
  <mergeCells count="225">
    <mergeCell ref="I54:I55"/>
    <mergeCell ref="K54:K55"/>
    <mergeCell ref="J60:J61"/>
    <mergeCell ref="K24:L24"/>
    <mergeCell ref="B52:B53"/>
    <mergeCell ref="D52:D53"/>
    <mergeCell ref="E23:F23"/>
    <mergeCell ref="I26:J26"/>
    <mergeCell ref="E8:F8"/>
    <mergeCell ref="K26:L26"/>
    <mergeCell ref="H52:H53"/>
    <mergeCell ref="I16:J16"/>
    <mergeCell ref="I25:J25"/>
    <mergeCell ref="G58:G59"/>
    <mergeCell ref="J3:L3"/>
    <mergeCell ref="I18:J18"/>
    <mergeCell ref="D62:D63"/>
    <mergeCell ref="I58:I59"/>
    <mergeCell ref="K58:K59"/>
    <mergeCell ref="B38:C38"/>
    <mergeCell ref="K52:K53"/>
    <mergeCell ref="I42:J42"/>
    <mergeCell ref="G60:G61"/>
    <mergeCell ref="K42:L42"/>
    <mergeCell ref="E27:F27"/>
    <mergeCell ref="I60:I61"/>
    <mergeCell ref="B40:C40"/>
    <mergeCell ref="G35:G36"/>
    <mergeCell ref="B54:B55"/>
    <mergeCell ref="D54:D55"/>
    <mergeCell ref="I44:J44"/>
    <mergeCell ref="A35:A36"/>
    <mergeCell ref="I20:J20"/>
    <mergeCell ref="A49:L49"/>
    <mergeCell ref="K28:L28"/>
    <mergeCell ref="B56:B57"/>
    <mergeCell ref="K37:L37"/>
    <mergeCell ref="E22:F22"/>
    <mergeCell ref="E35:F36"/>
    <mergeCell ref="I13:J13"/>
    <mergeCell ref="B41:C41"/>
    <mergeCell ref="K13:L13"/>
    <mergeCell ref="E12:F12"/>
    <mergeCell ref="I6:J6"/>
    <mergeCell ref="C4:C5"/>
    <mergeCell ref="I15:J15"/>
    <mergeCell ref="I46:J46"/>
    <mergeCell ref="K15:L15"/>
    <mergeCell ref="E5:F5"/>
    <mergeCell ref="E14:F14"/>
    <mergeCell ref="A54:A55"/>
    <mergeCell ref="E48:F48"/>
    <mergeCell ref="C54:C55"/>
    <mergeCell ref="B58:B59"/>
    <mergeCell ref="K21:L21"/>
    <mergeCell ref="L58:L59"/>
    <mergeCell ref="G62:G63"/>
    <mergeCell ref="E4:F4"/>
    <mergeCell ref="I62:I63"/>
    <mergeCell ref="E38:F38"/>
    <mergeCell ref="I56:I57"/>
    <mergeCell ref="K4:L5"/>
    <mergeCell ref="K56:K57"/>
    <mergeCell ref="A32:C32"/>
    <mergeCell ref="A56:A57"/>
    <mergeCell ref="C56:C57"/>
    <mergeCell ref="I41:J41"/>
    <mergeCell ref="B60:B61"/>
    <mergeCell ref="I32:J32"/>
    <mergeCell ref="K41:L41"/>
    <mergeCell ref="K32:L32"/>
    <mergeCell ref="I7:J7"/>
    <mergeCell ref="G64:G65"/>
    <mergeCell ref="E40:F40"/>
    <mergeCell ref="E54:E55"/>
    <mergeCell ref="I43:J43"/>
    <mergeCell ref="K43:L43"/>
    <mergeCell ref="C60:C61"/>
    <mergeCell ref="I24:J24"/>
    <mergeCell ref="B37:C37"/>
    <mergeCell ref="A31:C31"/>
    <mergeCell ref="K27:L27"/>
    <mergeCell ref="I8:J8"/>
    <mergeCell ref="E26:F26"/>
    <mergeCell ref="I17:J17"/>
    <mergeCell ref="H62:H63"/>
    <mergeCell ref="K17:L17"/>
    <mergeCell ref="J62:J63"/>
    <mergeCell ref="E16:F16"/>
    <mergeCell ref="A52:A53"/>
    <mergeCell ref="E25:F25"/>
    <mergeCell ref="I10:J10"/>
    <mergeCell ref="K10:L10"/>
    <mergeCell ref="H4:H5"/>
    <mergeCell ref="I19:J19"/>
    <mergeCell ref="K19:L19"/>
    <mergeCell ref="J64:J65"/>
    <mergeCell ref="K35:L36"/>
    <mergeCell ref="K6:L6"/>
    <mergeCell ref="C58:C59"/>
    <mergeCell ref="E18:F18"/>
    <mergeCell ref="E58:E59"/>
    <mergeCell ref="H54:H55"/>
    <mergeCell ref="I9:J9"/>
    <mergeCell ref="E52:E53"/>
    <mergeCell ref="K16:L16"/>
    <mergeCell ref="G52:G53"/>
    <mergeCell ref="K25:L25"/>
    <mergeCell ref="L62:L63"/>
    <mergeCell ref="E60:E61"/>
    <mergeCell ref="H56:H57"/>
    <mergeCell ref="K9:L9"/>
    <mergeCell ref="I45:J45"/>
    <mergeCell ref="I11:J11"/>
    <mergeCell ref="K45:L45"/>
    <mergeCell ref="H58:H59"/>
    <mergeCell ref="E39:F39"/>
    <mergeCell ref="B43:C43"/>
    <mergeCell ref="E44:F44"/>
    <mergeCell ref="K29:L29"/>
    <mergeCell ref="A2:L2"/>
    <mergeCell ref="E20:F20"/>
    <mergeCell ref="K11:L11"/>
    <mergeCell ref="I4:J5"/>
    <mergeCell ref="E29:F29"/>
    <mergeCell ref="A47:C47"/>
    <mergeCell ref="I47:J47"/>
    <mergeCell ref="K47:L47"/>
    <mergeCell ref="H60:H61"/>
    <mergeCell ref="K44:L44"/>
    <mergeCell ref="B42:C42"/>
    <mergeCell ref="I37:J37"/>
    <mergeCell ref="E13:F13"/>
    <mergeCell ref="K31:L31"/>
    <mergeCell ref="K46:L46"/>
    <mergeCell ref="K40:L40"/>
    <mergeCell ref="E31:F31"/>
    <mergeCell ref="I21:J21"/>
    <mergeCell ref="B44:C44"/>
    <mergeCell ref="E6:F6"/>
    <mergeCell ref="L60:L61"/>
    <mergeCell ref="E46:F46"/>
    <mergeCell ref="K8:L8"/>
    <mergeCell ref="A4:A5"/>
    <mergeCell ref="E15:F15"/>
    <mergeCell ref="B35:C36"/>
    <mergeCell ref="I23:J23"/>
    <mergeCell ref="A30:C30"/>
    <mergeCell ref="K23:L23"/>
    <mergeCell ref="C62:C63"/>
    <mergeCell ref="E62:E63"/>
    <mergeCell ref="J58:J59"/>
    <mergeCell ref="K7:L7"/>
    <mergeCell ref="J52:J53"/>
    <mergeCell ref="E56:E57"/>
    <mergeCell ref="B4:B5"/>
    <mergeCell ref="L52:L53"/>
    <mergeCell ref="E32:F32"/>
    <mergeCell ref="E7:F7"/>
    <mergeCell ref="G56:G57"/>
    <mergeCell ref="E41:F41"/>
    <mergeCell ref="B45:C45"/>
    <mergeCell ref="A58:A59"/>
    <mergeCell ref="K18:L18"/>
    <mergeCell ref="H35:H36"/>
    <mergeCell ref="E43:F43"/>
    <mergeCell ref="B62:B63"/>
    <mergeCell ref="E24:F24"/>
    <mergeCell ref="A60:A61"/>
    <mergeCell ref="B46:C46"/>
    <mergeCell ref="E42:F42"/>
    <mergeCell ref="I27:J27"/>
    <mergeCell ref="K60:K61"/>
    <mergeCell ref="H64:H65"/>
    <mergeCell ref="E17:F17"/>
    <mergeCell ref="A64:F65"/>
    <mergeCell ref="B39:C39"/>
    <mergeCell ref="K20:L20"/>
    <mergeCell ref="E10:F10"/>
    <mergeCell ref="A33:L33"/>
    <mergeCell ref="L64:L65"/>
    <mergeCell ref="D4:D5"/>
    <mergeCell ref="E19:F19"/>
    <mergeCell ref="I52:I53"/>
    <mergeCell ref="D56:D57"/>
    <mergeCell ref="E28:F28"/>
    <mergeCell ref="J54:J55"/>
    <mergeCell ref="I22:J22"/>
    <mergeCell ref="I28:J28"/>
    <mergeCell ref="L54:L55"/>
    <mergeCell ref="I35:J36"/>
    <mergeCell ref="E9:F9"/>
    <mergeCell ref="K22:L22"/>
    <mergeCell ref="C52:C53"/>
    <mergeCell ref="I12:J12"/>
    <mergeCell ref="K12:L12"/>
    <mergeCell ref="J56:J57"/>
    <mergeCell ref="G4:G5"/>
    <mergeCell ref="L56:L57"/>
    <mergeCell ref="E11:F11"/>
    <mergeCell ref="I64:I65"/>
    <mergeCell ref="E45:F45"/>
    <mergeCell ref="I39:J39"/>
    <mergeCell ref="I14:J14"/>
    <mergeCell ref="D58:D59"/>
    <mergeCell ref="G54:G55"/>
    <mergeCell ref="K14:L14"/>
    <mergeCell ref="A62:A63"/>
    <mergeCell ref="K39:L39"/>
    <mergeCell ref="K48:L48"/>
    <mergeCell ref="I48:J48"/>
    <mergeCell ref="A48:C48"/>
    <mergeCell ref="K62:K63"/>
    <mergeCell ref="I29:J29"/>
    <mergeCell ref="I38:J38"/>
    <mergeCell ref="K38:L38"/>
    <mergeCell ref="D60:D61"/>
    <mergeCell ref="A1:L1"/>
    <mergeCell ref="E37:F37"/>
    <mergeCell ref="K64:K65"/>
    <mergeCell ref="I31:J31"/>
    <mergeCell ref="D35:D36"/>
    <mergeCell ref="I40:J40"/>
    <mergeCell ref="E47:F47"/>
    <mergeCell ref="E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2026-07-03T01:42:03Z</dcterms:created>
  <dcterms:modified xsi:type="dcterms:W3CDTF">2026-07-03T03:14:39Z</dcterms:modified>
  <cp:lastModifiedBy>user</cp:lastModifiedBy>
</cp:coreProperties>
</file>