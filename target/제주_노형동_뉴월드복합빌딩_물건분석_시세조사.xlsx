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PycharmProjects\insane-search\target\"/>
    </mc:Choice>
  </mc:AlternateContent>
  <xr:revisionPtr revIDLastSave="0" documentId="13_ncr:1_{E3D3B204-3DE2-43B7-BDBD-3A2BF93ACB9A}" xr6:coauthVersionLast="36" xr6:coauthVersionMax="36" xr10:uidLastSave="{00000000-0000-0000-0000-000000000000}"/>
  <bookViews>
    <workbookView xWindow="0" yWindow="0" windowWidth="21495" windowHeight="8925" activeTab="1" xr2:uid="{00000000-000D-0000-FFFF-FFFF00000000}"/>
  </bookViews>
  <sheets>
    <sheet name="물건정보" sheetId="1" r:id="rId1"/>
    <sheet name="target_시세조사" sheetId="2" r:id="rId2"/>
    <sheet name="시세조사" sheetId="3" r:id="rId3"/>
    <sheet name="제주_공매차수" sheetId="4" r:id="rId4"/>
    <sheet name="제주_감정평가_호실별" sheetId="5" r:id="rId5"/>
    <sheet name="작업메모" sheetId="6" r:id="rId6"/>
  </sheets>
  <calcPr calcId="191029"/>
</workbook>
</file>

<file path=xl/calcChain.xml><?xml version="1.0" encoding="utf-8"?>
<calcChain xmlns="http://schemas.openxmlformats.org/spreadsheetml/2006/main">
  <c r="H40" i="5" l="1"/>
  <c r="K40" i="5" s="1"/>
  <c r="G40" i="5"/>
  <c r="F40" i="5"/>
  <c r="E40" i="5"/>
  <c r="K38" i="5"/>
  <c r="J38" i="5"/>
  <c r="I38" i="5"/>
  <c r="K37" i="5"/>
  <c r="J37" i="5"/>
  <c r="I37" i="5"/>
  <c r="K36" i="5"/>
  <c r="J36" i="5"/>
  <c r="I36" i="5"/>
  <c r="K35" i="5"/>
  <c r="J35" i="5"/>
  <c r="I35" i="5"/>
  <c r="K34" i="5"/>
  <c r="J34" i="5"/>
  <c r="I34" i="5"/>
  <c r="K33" i="5"/>
  <c r="J33" i="5"/>
  <c r="I33" i="5"/>
  <c r="K32" i="5"/>
  <c r="J32" i="5"/>
  <c r="I32" i="5"/>
  <c r="K31" i="5"/>
  <c r="J31" i="5"/>
  <c r="I31" i="5"/>
  <c r="K30" i="5"/>
  <c r="J30" i="5"/>
  <c r="I30" i="5"/>
  <c r="K29" i="5"/>
  <c r="J29" i="5"/>
  <c r="I29" i="5"/>
  <c r="K28" i="5"/>
  <c r="J28" i="5"/>
  <c r="I28" i="5"/>
  <c r="K27" i="5"/>
  <c r="J27" i="5"/>
  <c r="I27" i="5"/>
  <c r="K26" i="5"/>
  <c r="J26" i="5"/>
  <c r="I26" i="5"/>
  <c r="K25" i="5"/>
  <c r="J25" i="5"/>
  <c r="I25" i="5"/>
  <c r="K24" i="5"/>
  <c r="J24" i="5"/>
  <c r="I24" i="5"/>
  <c r="K23" i="5"/>
  <c r="J23" i="5"/>
  <c r="I23" i="5"/>
  <c r="K22" i="5"/>
  <c r="J22" i="5"/>
  <c r="I22" i="5"/>
  <c r="K21" i="5"/>
  <c r="J21" i="5"/>
  <c r="I21" i="5"/>
  <c r="K20" i="5"/>
  <c r="J20" i="5"/>
  <c r="I20" i="5"/>
  <c r="K19" i="5"/>
  <c r="J19" i="5"/>
  <c r="I19" i="5"/>
  <c r="K18" i="5"/>
  <c r="J18" i="5"/>
  <c r="I18" i="5"/>
  <c r="K17" i="5"/>
  <c r="J17" i="5"/>
  <c r="I17" i="5"/>
  <c r="K16" i="5"/>
  <c r="J16" i="5"/>
  <c r="I16" i="5"/>
  <c r="K15" i="5"/>
  <c r="J15" i="5"/>
  <c r="I15" i="5"/>
  <c r="K14" i="5"/>
  <c r="J14" i="5"/>
  <c r="I14" i="5"/>
  <c r="K13" i="5"/>
  <c r="J13" i="5"/>
  <c r="I13" i="5"/>
  <c r="K12" i="5"/>
  <c r="J12" i="5"/>
  <c r="I12" i="5"/>
  <c r="K11" i="5"/>
  <c r="J11" i="5"/>
  <c r="I11" i="5"/>
  <c r="K10" i="5"/>
  <c r="J10" i="5"/>
  <c r="I10" i="5"/>
  <c r="K9" i="5"/>
  <c r="J9" i="5"/>
  <c r="I9" i="5"/>
  <c r="K8" i="5"/>
  <c r="J8" i="5"/>
  <c r="I8" i="5"/>
  <c r="K7" i="5"/>
  <c r="J7" i="5"/>
  <c r="I7" i="5"/>
  <c r="K6" i="5"/>
  <c r="J6" i="5"/>
  <c r="I6" i="5"/>
  <c r="K5" i="5"/>
  <c r="J5" i="5"/>
  <c r="I5" i="5"/>
  <c r="K4" i="5"/>
  <c r="J4" i="5"/>
  <c r="J40" i="5" s="1"/>
  <c r="I4" i="5"/>
  <c r="I40" i="5" s="1"/>
  <c r="G11" i="4"/>
  <c r="F11" i="4"/>
  <c r="E11" i="4"/>
  <c r="F10" i="4"/>
  <c r="G10" i="4" s="1"/>
  <c r="E10" i="4"/>
  <c r="F9" i="4"/>
  <c r="G9" i="4" s="1"/>
  <c r="E9" i="4"/>
  <c r="F8" i="4"/>
  <c r="G8" i="4" s="1"/>
  <c r="E8" i="4"/>
  <c r="G7" i="4"/>
  <c r="F7" i="4"/>
  <c r="E7" i="4"/>
  <c r="F6" i="4"/>
  <c r="G6" i="4" s="1"/>
  <c r="E6" i="4"/>
  <c r="F5" i="4"/>
  <c r="G5" i="4" s="1"/>
  <c r="E5" i="4"/>
  <c r="F4" i="4"/>
  <c r="G4" i="4" s="1"/>
  <c r="E4" i="4"/>
  <c r="I74" i="3"/>
  <c r="H57" i="3"/>
  <c r="H55" i="3"/>
  <c r="H53" i="3"/>
  <c r="H51" i="3"/>
  <c r="H49" i="3"/>
  <c r="H47" i="3"/>
  <c r="H45" i="3"/>
  <c r="H43" i="3"/>
  <c r="H41" i="3"/>
  <c r="H39" i="3"/>
  <c r="H37" i="3"/>
  <c r="H35" i="3"/>
  <c r="H33" i="3"/>
  <c r="H26" i="3"/>
  <c r="H24" i="3"/>
  <c r="H20" i="3"/>
  <c r="H18" i="3"/>
  <c r="H16" i="3"/>
  <c r="H12" i="3"/>
  <c r="H10" i="3"/>
  <c r="H8" i="3"/>
  <c r="H6" i="3"/>
  <c r="J97" i="2"/>
  <c r="I97" i="2"/>
  <c r="J31" i="2"/>
  <c r="I31" i="2"/>
  <c r="D13" i="1"/>
  <c r="F10" i="1" s="1"/>
  <c r="F13" i="1" s="1"/>
  <c r="B13" i="1"/>
  <c r="C11" i="1"/>
  <c r="G10" i="1"/>
  <c r="C10" i="1"/>
  <c r="I10" i="1" s="1"/>
  <c r="G9" i="1"/>
  <c r="F9" i="1"/>
  <c r="C9" i="1"/>
  <c r="I9" i="1" s="1"/>
  <c r="C13" i="1" l="1"/>
</calcChain>
</file>

<file path=xl/sharedStrings.xml><?xml version="1.0" encoding="utf-8"?>
<sst xmlns="http://schemas.openxmlformats.org/spreadsheetml/2006/main" count="1262" uniqueCount="781">
  <si>
    <t>제주시 노형동 뉴월드복합빌딩 물건 분석 보고서</t>
  </si>
  <si>
    <t>물건기본정보</t>
  </si>
  <si>
    <t>용도</t>
  </si>
  <si>
    <t>소재지</t>
  </si>
  <si>
    <t>소유자 / 채무자</t>
  </si>
  <si>
    <t>상가/근린생활시설·업무시설·교육연구시설</t>
  </si>
  <si>
    <t>제주특별자치도 제주시 노형동 710, 뉴월드복합빌딩 35개 호실</t>
  </si>
  <si>
    <t>등기부·신탁원부 확인 필요 / 채무자 자료 미제공</t>
  </si>
  <si>
    <t>감정가정보</t>
  </si>
  <si>
    <t>(단위 : 원)</t>
  </si>
  <si>
    <t>구분</t>
  </si>
  <si>
    <t>면적</t>
  </si>
  <si>
    <t>감정평가액</t>
  </si>
  <si>
    <t>비율</t>
  </si>
  <si>
    <t>㎡당금액</t>
  </si>
  <si>
    <t>평당금액</t>
  </si>
  <si>
    <t>(㎡)</t>
  </si>
  <si>
    <t>(평)</t>
  </si>
  <si>
    <t>토지</t>
  </si>
  <si>
    <t>건물</t>
  </si>
  <si>
    <t>제시외건물</t>
  </si>
  <si>
    <t>기계기구</t>
  </si>
  <si>
    <t>합계</t>
  </si>
  <si>
    <t>등기부현황</t>
  </si>
  <si>
    <t>접수일자</t>
  </si>
  <si>
    <t>종류</t>
  </si>
  <si>
    <t>권리자</t>
  </si>
  <si>
    <t>채권액</t>
  </si>
  <si>
    <t>인수</t>
  </si>
  <si>
    <t>비고</t>
  </si>
  <si>
    <t>확인필요</t>
  </si>
  <si>
    <t>등기부등본</t>
  </si>
  <si>
    <t>제한물권·압류·근저당</t>
  </si>
  <si>
    <t>판단보류</t>
  </si>
  <si>
    <t>공매공고상 등기사항증명서 확인 필요</t>
  </si>
  <si>
    <t>신탁원부</t>
  </si>
  <si>
    <t>신탁계약·처분권한</t>
  </si>
  <si>
    <t>신탁원부 확인 전 인수/말소 확정 불가</t>
  </si>
  <si>
    <t>임차권/점유</t>
  </si>
  <si>
    <t>상가임차인 여부</t>
  </si>
  <si>
    <t>사업자등록·점유·보증금 별도 확인 필요</t>
  </si>
  <si>
    <t>관리비/제세공과</t>
  </si>
  <si>
    <t>미납관리비·세금</t>
  </si>
  <si>
    <t>인수가능성</t>
  </si>
  <si>
    <t>공고상 매수인 부담 조건 존재</t>
  </si>
  <si>
    <t>부가세</t>
  </si>
  <si>
    <t>건물분 VAT</t>
  </si>
  <si>
    <t>낙찰가×20%×10%</t>
  </si>
  <si>
    <t>매수인 부담</t>
  </si>
  <si>
    <t>최저입찰가격은 부가세 별도</t>
  </si>
  <si>
    <t>임차현황</t>
  </si>
  <si>
    <t>임차인</t>
  </si>
  <si>
    <t>대항력</t>
  </si>
  <si>
    <t>점유</t>
  </si>
  <si>
    <t>전입/확정/배당</t>
  </si>
  <si>
    <t>보증금/월세</t>
  </si>
  <si>
    <t>임대차·점유관계 자료 미제공
현장조사 및 상가건물임대차 현황 확인 필요</t>
  </si>
  <si>
    <t>사업자등록/확정일자/배당요구 확인 필요</t>
  </si>
  <si>
    <t>미확인</t>
  </si>
  <si>
    <t>판단불가</t>
  </si>
  <si>
    <t>공매현황(1~8차)</t>
  </si>
  <si>
    <t>회차</t>
  </si>
  <si>
    <t>공매일시</t>
  </si>
  <si>
    <t>최저입찰가격</t>
  </si>
  <si>
    <t>감정가대비</t>
  </si>
  <si>
    <t>저감율</t>
  </si>
  <si>
    <t>토지(평당)</t>
  </si>
  <si>
    <t>건물(평당)</t>
  </si>
  <si>
    <t>1차</t>
  </si>
  <si>
    <t>26.06.22</t>
  </si>
  <si>
    <t>31,361,700,000</t>
  </si>
  <si>
    <t>111%</t>
  </si>
  <si>
    <t>-</t>
  </si>
  <si>
    <t>74,465,822</t>
  </si>
  <si>
    <t>5,509,531</t>
  </si>
  <si>
    <t>VAT 별도</t>
  </si>
  <si>
    <t>2차</t>
  </si>
  <si>
    <t>26.06.29</t>
  </si>
  <si>
    <t>28,225,500,000</t>
  </si>
  <si>
    <t>100%</t>
  </si>
  <si>
    <t>-10%</t>
  </si>
  <si>
    <t>67,019,169</t>
  </si>
  <si>
    <t>4,958,572</t>
  </si>
  <si>
    <t>3차</t>
  </si>
  <si>
    <t>26.07.06</t>
  </si>
  <si>
    <t>25,402,900,000</t>
  </si>
  <si>
    <t>90%</t>
  </si>
  <si>
    <t>60,317,133</t>
  </si>
  <si>
    <t>4,462,706</t>
  </si>
  <si>
    <t>4차</t>
  </si>
  <si>
    <t>26.07.13</t>
  </si>
  <si>
    <t>22,862,600,000</t>
  </si>
  <si>
    <t>81%</t>
  </si>
  <si>
    <t>54,285,396</t>
  </si>
  <si>
    <t>4,016,434</t>
  </si>
  <si>
    <t>5차</t>
  </si>
  <si>
    <t>26.07.20</t>
  </si>
  <si>
    <t>20,576,300,000</t>
  </si>
  <si>
    <t>73%</t>
  </si>
  <si>
    <t>48,856,762</t>
  </si>
  <si>
    <t>3,614,783</t>
  </si>
  <si>
    <t>6차</t>
  </si>
  <si>
    <t>26.07.22</t>
  </si>
  <si>
    <t>18,518,600,000</t>
  </si>
  <si>
    <t>66%</t>
  </si>
  <si>
    <t>43,970,919</t>
  </si>
  <si>
    <t>3,253,293</t>
  </si>
  <si>
    <t>7차</t>
  </si>
  <si>
    <t>26.07.27</t>
  </si>
  <si>
    <t>16,666,700,000</t>
  </si>
  <si>
    <t>59%</t>
  </si>
  <si>
    <t>39,573,732</t>
  </si>
  <si>
    <t>2,927,957</t>
  </si>
  <si>
    <t>8차</t>
  </si>
  <si>
    <t>26.07.29</t>
  </si>
  <si>
    <t>15,000,000,000</t>
  </si>
  <si>
    <t>53%</t>
  </si>
  <si>
    <t>35,616,288</t>
  </si>
  <si>
    <t>2,635,156</t>
  </si>
  <si>
    <t>종합의견</t>
  </si>
  <si>
    <t>※ 1차 가능 업데이트 범위: 감정평가서·공매공고에서 확인 가능한 사항만 반영.
감정평가액은 282.48억(토지 225.984억 / 건물 56.496억, 80:20)이고, 공매 1차 최저가는 313.617억으로 감정평가액 대비 약 111% 수준임. 최저입찰가격은 부가세 별도이며 건물분(낙찰가의 20%)의 10%를 추가 부담해야 함.
등기부등본, 신탁원부, 임대차/점유관계, 미납관리비·제세공과 자료가 미제공이므로 권리 인수 여부 및 명도 리스크는 현재 확정 판단 불가.</t>
  </si>
  <si>
    <t>제주특별자치도 제주시 노형동 710 뉴월드복합빌딩 — 인근 상업용 부동산 시세조사 (반경 1km · 숙박 제외)</t>
  </si>
  <si>
    <t>3. 시세조사내용  ※ 기준점: 노형동 710 / 수집: 국토부 실거래가·네이버부동산·탱크옥션(매각·매각허가) / 2026-06 기준</t>
  </si>
  <si>
    <t>1) 인근 실거래가 — 국토부 실거래가(상업·업무용 매매·숙박제외), 노형동 710 반경 1km / 단위: 만원</t>
  </si>
  <si>
    <t>no</t>
  </si>
  <si>
    <t>분류</t>
  </si>
  <si>
    <t>매매일자</t>
  </si>
  <si>
    <t>주소(지번)</t>
  </si>
  <si>
    <t>층</t>
  </si>
  <si>
    <t>전용㎡</t>
  </si>
  <si>
    <t>전용평</t>
  </si>
  <si>
    <t>매매가(만원)</t>
  </si>
  <si>
    <t>평당가(만원/평)</t>
  </si>
  <si>
    <t>용도지역</t>
  </si>
  <si>
    <t>층/대형</t>
  </si>
  <si>
    <t>2025.04.20</t>
  </si>
  <si>
    <t>노형동 720-1</t>
  </si>
  <si>
    <t>제2종근린생활</t>
  </si>
  <si>
    <t>6층</t>
  </si>
  <si>
    <t>일반상업</t>
  </si>
  <si>
    <t>집합·과원북4길·중개거래 (129m)</t>
  </si>
  <si>
    <t>호실별</t>
  </si>
  <si>
    <t>3층</t>
  </si>
  <si>
    <t>2층</t>
  </si>
  <si>
    <t>제1종근린생활</t>
  </si>
  <si>
    <t>1층</t>
  </si>
  <si>
    <t>2025.04.28</t>
  </si>
  <si>
    <t>노형동 920-13</t>
  </si>
  <si>
    <t>업무</t>
  </si>
  <si>
    <t>15층</t>
  </si>
  <si>
    <t>집합·원노형2길·중개거래 (147m)</t>
  </si>
  <si>
    <t>2026.04.29</t>
  </si>
  <si>
    <t>노형동 924-1</t>
  </si>
  <si>
    <t>집합·원노형남1길·직거래 (256m)</t>
  </si>
  <si>
    <t>2025.11.14</t>
  </si>
  <si>
    <t>노형동 722-2</t>
  </si>
  <si>
    <t>집합·연북로·직거래 (267m)</t>
  </si>
  <si>
    <t>2025.09.19</t>
  </si>
  <si>
    <t>노형동 732</t>
  </si>
  <si>
    <t>제2종일반주거</t>
  </si>
  <si>
    <t>집합·원노형로·직거래 (336m)</t>
  </si>
  <si>
    <t>2025.05.12</t>
  </si>
  <si>
    <t>2025.01.20</t>
  </si>
  <si>
    <t>노형동 939</t>
  </si>
  <si>
    <t>집합·노연로·직거래 (403m)</t>
  </si>
  <si>
    <t>2026.03.02</t>
  </si>
  <si>
    <t>노형동 1288-5</t>
  </si>
  <si>
    <t>판매</t>
  </si>
  <si>
    <t>5층</t>
  </si>
  <si>
    <t>집합·노형로·중개거래 (575m)</t>
  </si>
  <si>
    <t>2026.01.13</t>
  </si>
  <si>
    <t>노형동 753-1</t>
  </si>
  <si>
    <t>집합·한라대학로·중개거래 (609m)</t>
  </si>
  <si>
    <t>2026.01.16</t>
  </si>
  <si>
    <t>노형동 754-4</t>
  </si>
  <si>
    <t>집합·과원로·직거래 (622m)</t>
  </si>
  <si>
    <t>2025.12.04</t>
  </si>
  <si>
    <t>노형동 905-3</t>
  </si>
  <si>
    <t>집합·도령로·직거래 (629m)</t>
  </si>
  <si>
    <t>2024.09.16</t>
  </si>
  <si>
    <t>노형동 754-3</t>
  </si>
  <si>
    <t>집합·과원로·직거래 (683m)</t>
  </si>
  <si>
    <t>2025.07.29</t>
  </si>
  <si>
    <t>노형동 1278-1</t>
  </si>
  <si>
    <t>집합·월랑로4길·직거래 (756m)</t>
  </si>
  <si>
    <t>2024.01.26</t>
  </si>
  <si>
    <t>노형동 1284-5</t>
  </si>
  <si>
    <t>집합·정존11길·중개거래 (760m)</t>
  </si>
  <si>
    <t>2025.05.07</t>
  </si>
  <si>
    <t>노형동 1275-11</t>
  </si>
  <si>
    <t>집합·다랑곶6길·직거래 (761m)</t>
  </si>
  <si>
    <t>2025.08.28</t>
  </si>
  <si>
    <t>노형동 1060-1</t>
  </si>
  <si>
    <t>집합·수덕7길·직거래 (842m)</t>
  </si>
  <si>
    <t>2024.04.29</t>
  </si>
  <si>
    <t>노형동 1271-12</t>
  </si>
  <si>
    <t>집합·월랑로4길·중개거래 (867m)</t>
  </si>
  <si>
    <t>2024.06.05</t>
  </si>
  <si>
    <t>노형동 2532-1</t>
  </si>
  <si>
    <t>집합·수덕5길·직거래 (882m)</t>
  </si>
  <si>
    <t>2025.02.18</t>
  </si>
  <si>
    <t>노형동 1052-27</t>
  </si>
  <si>
    <t>집합·월랑로6길·중개거래 (891m)</t>
  </si>
  <si>
    <t>2025.08.12</t>
  </si>
  <si>
    <t>노형동 1054-6</t>
  </si>
  <si>
    <t>7층</t>
  </si>
  <si>
    <t>준주거</t>
  </si>
  <si>
    <t>집합·월랑로8길·직거래 (926m)</t>
  </si>
  <si>
    <t>2024.09.10</t>
  </si>
  <si>
    <t>노형동 1050-6</t>
  </si>
  <si>
    <t>집합·다랑곶4길·중개거래 (962m)</t>
  </si>
  <si>
    <t>2026.04.13</t>
  </si>
  <si>
    <t>노형동 2530-2</t>
  </si>
  <si>
    <t>집합·수덕9길·직거래 (984m)</t>
  </si>
  <si>
    <t>노형동 710 반경 1km 상업용 매매 실거래 평균(집합·숙박제외)</t>
  </si>
  <si>
    <t>2) 인근 네이버 매물(호가) — 통건물 / 호실별 / 층별 구분, 노형동 710 반경 1km / 숙박(여관·모텔·콘도·드림타워객실) 제외</t>
  </si>
  <si>
    <t>매매호가</t>
  </si>
  <si>
    <t>보증금/월세(만원)</t>
  </si>
  <si>
    <t>사용승인일</t>
  </si>
  <si>
    <t>상세설명(원문)</t>
  </si>
  <si>
    <t>통건물(빌딩·통매매)</t>
  </si>
  <si>
    <t>상가건물</t>
  </si>
  <si>
    <t>노형동 936-11</t>
  </si>
  <si>
    <t>1/-</t>
  </si>
  <si>
    <t>9억 5,000</t>
  </si>
  <si>
    <t>2021.03.30</t>
  </si>
  <si>
    <t>롯데마트 인그 에 위치한
1층상가건무 통매매
대지 75평, 1층상가건물 42평
2021년 건축됨
현재 임대중 (보증금 3000만/월250만
매매시 비워줄수 있음,그냥 임대놔도 됩니다
투자용및 사옥건축및 상가,사무실 건축용 최고
저가에나온 급매물 입니다
좋은물건 잡을수 있는 최고의 챤스입니다
전화연락 주세요
010-9546-3568
이편한세상공인중개사
&lt;중개대상물의 표시 · 광고 명시사항 관련정보&gt;
개설등록번호 :가-4402-1295
입주가능일 :즉시입주
방향기준 :출입구
욕실 또는 화장실 : 2개
건축물용도 :제2종 근린생활시설
위반건축물여부 : 해당없음
사용승인일 :20210330</t>
  </si>
  <si>
    <t>건물/매매·한국공인중개사협회·e편한세상공인중개사사무소 (80m)</t>
  </si>
  <si>
    <t>빌딩</t>
  </si>
  <si>
    <t>노형동 710-3</t>
  </si>
  <si>
    <t>4/B1</t>
  </si>
  <si>
    <t>380억</t>
  </si>
  <si>
    <t>2012.10.08</t>
  </si>
  <si>
    <t>대로변 상업지 시행부지 
상담 010-5342-2376
&lt;중개대상물의 표시 · 광고 명시사항 관련정보&gt;
개설등록번호 :11560202200104
입주가능일 :즉시입주
방향기준 :입구
욕실 또는 화장실 : 5개
건축물용도 :운동시설
위반건축물여부 : 해당없음
사용승인일 :20121008</t>
  </si>
  <si>
    <t>건물/매매·한국공인중개사협회·(주)대림부동산중개법인 (97m)</t>
  </si>
  <si>
    <t>노형동 3785-3</t>
  </si>
  <si>
    <t>5/B2</t>
  </si>
  <si>
    <t>39억 5,000</t>
  </si>
  <si>
    <t>2020.03.10</t>
  </si>
  <si>
    <t>【 노형 준주거지 / 5층 통건물 매매 】  
※ 자세한 문의는 [제주세림공인중개사]로 방문 바랍니다.
▶ 39억 5천
▶ 준주거지 
✔  관리잘된 건물 / 공실없음
✔  이마트 인근 
※ 자세한 문의는 [제주세림공인중개사]로 방문 바랍니다.
    010-2690-3833
    네이버 검색창에 ▶ 제주세림 공인중개사사무소
&lt;중개대상물의 표시 · 광고 명시사항 관련정보&gt;
개설등록번호 :50110-2020-00066
입주가능일 :즉시입주
방향기준 :주출입구
욕실 또는 화장실 : 11개
건축물용도 :제2종 근린생활시설
위반건축물여부 : 해당없음
사용승인일 :20200310</t>
  </si>
  <si>
    <t>건물/매매·한국공인중개사협회·제주세림공인중개사사무소 (310m)</t>
  </si>
  <si>
    <t>일반상가</t>
  </si>
  <si>
    <t>노형동 945-9</t>
  </si>
  <si>
    <t>5/5</t>
  </si>
  <si>
    <t>37억</t>
  </si>
  <si>
    <t>2022.04.28</t>
  </si>
  <si>
    <t>▶ 매물설명
★ 연면적 : 505.67㎡
★ 대지면적 : 267.5㎡
★ 총 층수 : 5층
★ 총 상가 : 4개
★ 높이 : 18.8m
※ 각 층 화장실 : 각 층 방 수와 위치는 구조도 첨부함.
※ 제2종일반주거지역
▶ 금액설명
★ 매매 : 37억원
★ 임대 : 각 층 건축면적 160.45㎡ 동일
※ 1층 공급면적 : 123.82㎡ / (보)2,000, (년)3,000
※ 2층 공급면적 : 137.20㎡ / (보)2,800 ,(년)2,800
※ 3층 공급면적 : 124.49㎡ / (보)2,200 ,(년)2,200
※ 4층 공급면적 : 106.93㎡ / (보)2,200 ,(년)2,200
※ 5층 공급면적 : 13.23㎡ (5층은 4층에 포함)
※ 상기 금액은 부가세 별도임
▶ 주변환경
※ KT&amp;G 제주지사
※ 메르헨하우스 2, 3
※ KB국민은행
※ NH농협은행
※ 제주은행
--
# 매물번호 : 디-221
문의시 매물번호 말씀해 주시면 빠른 상담 가능합니다.
문의 전화 : 064-745-0531 / 010-2134-7806
디에이치부동산
(주)디에이치홀딩스부동산중개법인
제주특별자치도 제주시 노형로 356, 5층(노형동)
개설등록번호 : 50110-2023-00022 / 통신판매업신고 : 제2023-제주노형-0091
대표이사ㆍ공인중개사 김대홍
제주대학교 경영대학원 부동산경제학 석사
부동산토지전문가 1급 / 부동산분양상담전문가 1급
부동산자산관리지도사 1급 / 부동산권리분석사 1급
건물관리사 1급 / 빌딩관리사 1급
부동산입찰전문가 1급
# 블로그1 : https://blog.naver.com/dh_realestate
# 블로그2 : https://blog.naver.com/jeju-dhreal
# 064-745-0531
&lt;중개대상물의 표시 · 광고 명시사항 관련정보&gt;
개설등록번호 :50110202300022
입주가능일 :즉시입주</t>
  </si>
  <si>
    <t>상가/매매·한국공인중개사협회·(주)디에이치홀딩스부동산중개법인 (308m)</t>
  </si>
  <si>
    <t>노형동 940</t>
  </si>
  <si>
    <t>5/-</t>
  </si>
  <si>
    <t>98억</t>
  </si>
  <si>
    <t>2017.09.25</t>
  </si>
  <si>
    <t>1. 일반상업지역에 위치하고 있어 입지 및 유동성이 매우 뛰어남
2. 대로변 코너 건물로 가시성이 우수하며, 전층 입점 완료를 통한 수요 높은 수익용 건물
3. 주변의 여러 호텔(그랜드 하얏트 호텔 등)이 위치하고 있어 관광객을 대상으로 하는 다양한 리테일 입점 수요 높음</t>
  </si>
  <si>
    <t>건물/매매·한경부동산·(주)팀리얼티 부동산중개법인 (426m)</t>
  </si>
  <si>
    <t>노형동 3786-1</t>
  </si>
  <si>
    <t>7/B1</t>
  </si>
  <si>
    <t>40억</t>
  </si>
  <si>
    <t>2016.03.07</t>
  </si>
  <si>
    <t>📍 핵심 정보
* 거래 유형: [매매]
* 가격: [매매가 40억원]
* 연면적: 1147.67m²
* 층수: 총 7층 / 방향: 주 출입구 기준 [북향]
* 입주 가능일: [즉시 입주/협의]
🗺️ 입지 및 상권 분석
* 노형2지구 메인 통로 상가로 접근성 최상.
* 주변에 경쟁 점포가 적고, 학원/병원/오피스가 밀집된 안정적인 상권입니다.
🏗️ 시설 및 현황 (특징)
* 내부 시설 상태 매우 양호하며, 인테리어 비용 절감 가능!
* 주차 편리 (기계식 주차 가능), 전용 화장실 유.</t>
  </si>
  <si>
    <t>건물/매매·부동산포스·베리타공인중개사사무소 (453m)</t>
  </si>
  <si>
    <t>기타</t>
  </si>
  <si>
    <t>노형동 910-1</t>
  </si>
  <si>
    <t>6/B1</t>
  </si>
  <si>
    <t>61억</t>
  </si>
  <si>
    <t>2017.07.06</t>
  </si>
  <si>
    <t>▷제주시 원노형5길 19 (지번주소--&gt;3필지)
▷에코휴리움 오피스 
▷제2종일반주거지역,고도지구(45m이하),시가지경관지구(일반) 
    소로2류(폭8m~10m)(접함),상대보호구역
▷대 672.5㎡(203.43평)  
▷지하1층,지상6층--&gt;연면적 1,710.57㎡(517.45평) 
▷1층/상가(칵테일바,커피전문점,혼술바)--&gt;임대중 
▷오피스텔/1.5룸~30실--&gt;임대중 
▷화장실 33실
▷보증금 합 1.3억+∝ ,년세 합 2.62억--&gt;현재 공실없이 임대중 
▷주차/옥내~기계식 25대,옥외~자주식 5대 
▷매매가/61억원--&gt;가격절충!!! 
▷안정적 임대수익 창출하는 노형 핫 플레이스!!! 
&lt;중개대상물의 표시 · 광고 명시사항 관련정보&gt;
개설등록번호 :50110-2025-00004
입주가능일 :즉시입주
방향기준 :주출입구 현관
욕실 또는 화장실 : 33개
건축물용도 :업무시설
위반건축물여부 : 해당없음
사용승인일 :20170706</t>
  </si>
  <si>
    <t>건물/매매·한국공인중개사협회·해빛공인중개사사무소 (547m)</t>
  </si>
  <si>
    <t>노형동 905</t>
  </si>
  <si>
    <t>3/B1</t>
  </si>
  <si>
    <t>28억</t>
  </si>
  <si>
    <t>2002.12.30</t>
  </si>
  <si>
    <t>&lt;중개대상물의 표시 · 광고 명시사항 관련정보&gt;
개설등록번호 :11410202500007
입주가능일 :즉시입주
방향기준 :주출입구
욕실 또는 화장실 : 5개
건축물용도 :제2종 근린생활시설
위반건축물여부 : 해당없음
사용승인일 :20021230</t>
  </si>
  <si>
    <t>건물/매매·한국공인중개사협회·명당공인중개사사무소 (564m)</t>
  </si>
  <si>
    <t>노형동 3811-2</t>
  </si>
  <si>
    <t>4/-</t>
  </si>
  <si>
    <t>48억</t>
  </si>
  <si>
    <t>2016.08.08</t>
  </si>
  <si>
    <t>■ 대지 : 183평
■ 건물 : 75평 4개층 (엘레베이트있음)
■  1~4층 임대 완료 (성업중)
■  도보권 아파트 및 유명 맛집 근처로 유동인구 多
■  대로3류(폭 25m~30m)( 소로1류(폭 10m~12m) 접하여 차량이용 편리
■ 자주식 주차 8대 공간넓어 주차 편리
잘 지어진 4층 건물 전체 매매 입니다.
관심 있으신 분 자세한 안내는 바로 연락 주시기 바랍니다.</t>
  </si>
  <si>
    <t>건물/매매·매경부동산·대경부동산공인중개사사무소 (900m)</t>
  </si>
  <si>
    <t>레저/스포츠/위락</t>
  </si>
  <si>
    <t>노형동 716</t>
  </si>
  <si>
    <t>2/B1</t>
  </si>
  <si>
    <t>350억</t>
  </si>
  <si>
    <t>2002.08.08</t>
  </si>
  <si>
    <t>- 임대수입 연간 약 13억원
자세한 내용은 전화문의 주시면 친절히 상담해드리며, 이 외에도 전국에 다양한 많은 물건을 보유하고 있으니 언제든지 편하게 상담의뢰 주시기 바랍니다.
★매매/임대/토지/재개발/재건축/소액투자/분양권/입주권/경매/공매/상가/공장/지식산업센터/임차관리/설계시공 등 모든 상담 환영★
담당자 직통번호 02-2187-3244</t>
  </si>
  <si>
    <t>건물/매매·선방·뉴다원에셋부동산중개 주식회사 (771m)</t>
  </si>
  <si>
    <t>노형동 1291-17</t>
  </si>
  <si>
    <t>1/1</t>
  </si>
  <si>
    <t>30억</t>
  </si>
  <si>
    <t>1990.04.17</t>
  </si>
  <si>
    <t>✅ 제주 중심 노형동 직사각형 반듯한 토지  및 근생 매매
✅ 2필지 총 150평 
✅ 근생 3채 단독 1채 (화장실 방 ) 총4개 건축물
✅ 현 임차인 영업중 즉시 명도가능
✅ 향후 신축 등 수익 예상
✅ 매매대금 30억(평당 200만원, 충분히 조절가능)
✔️ 매수인 원하는 조건 모두 맞추어 드립니다. 
🔶 롯데신용부동산 전속물건입니다. (공동중개 환영)
🏆 2024~2025 2년 연속 한국소비자산업평가 서울 광진구 우수 롯데신용부동산이 정직하게 중개합니다.</t>
  </si>
  <si>
    <t>상가/매매·부동산써브·롯데신용공인중개사사무소 (645m)</t>
  </si>
  <si>
    <t>일반상가 남녕고 근방 위치 좋은 상가</t>
  </si>
  <si>
    <t>노형동 905-3 남녕고 근방 위치 좋은 상가</t>
  </si>
  <si>
    <t>B1/12</t>
  </si>
  <si>
    <t>10억</t>
  </si>
  <si>
    <t>1991.11.02</t>
  </si>
  <si>
    <t>▣ 남녕고 근방 위치 좋은 상가 ▣  
♠ 매매금액  : 10억
♠ 전용면적 :  182.11Py / 지하1층
♠  옵션은 없음 
♠  상가나 사무실용도로 사용 적합 
♠  자세한 사항은 전화 주시면 상세하게 
    설명드리겠습니다. 
………………………………………………………… 
♠  드림타워.노형오거리.제원사거리 : 도보권
♠  역세권.편세권.스세권으로 노형동 최고 입지 
=== 
♣ 매물 더 보기 : 
 아파트.주택.빌라.원룸.상가.OP.다가구 등
♣ 토지   
https://land.jejukcr.com/biz/fuji1212
♣ 블로그 
https://blog.naver.com/jejudo3355
=== 
♣ 아파트*상가*토지거래는 부영부동산 ♣
☎ 010-7179-2998  / 064) 743-9900
ⓞ 한라초*중 서쪽. 부영 5차 아파트 상가</t>
  </si>
  <si>
    <t>상가/매매·매경부동산·부영부동산공인중개사사무소 (615m)</t>
  </si>
  <si>
    <t>상업시설 JJ빌딩</t>
  </si>
  <si>
    <t>노형동 3794-3 JJ빌딩</t>
  </si>
  <si>
    <t>5/B1</t>
  </si>
  <si>
    <t>4억/3,334</t>
  </si>
  <si>
    <t>2017.05.26</t>
  </si>
  <si>
    <t>【기본설명】
■전용면적:324평
   :1층(88평),2층(86평),3층(79.4평),4층(70.2평)
■사용층:1층~4층
■건축물용도:제1,2종근린생활시설
■임대료:보증금4억 / 연세4억
   : 제주는 임대료가 연세입니다.
■권리금:無
■엘리베이터 有
■주차대수:8대
■공영주차장2有 : 건물뒷편에 있음
■입주가능시점:2027년5월10일
■신노형 사거리 코너:노출효과 좋음
■추천업종:정형외과,성형외과,피부과,치과,한의원
■병의원,식당,카페 등 상권밀집지역</t>
  </si>
  <si>
    <t>건물/월세·부동산써브·지식맨부동산중개법인 (691m)</t>
  </si>
  <si>
    <t>토지(대지)</t>
  </si>
  <si>
    <t>대</t>
  </si>
  <si>
    <t>제주 중심상가지역인 노형오거리 이마트, 롯데마트 인근에 있는 토지입니다.
현재는 1층  건물에 식당을 하고 있습니다.
인근에 중심상권이 형성되어 있어 다양한 상가 시설을 건축할 수 있습니다.
토지면적은  249.6㎡(76평) 건축물 면적은  140.17㎡(42.4평) 입니다.
토지, 건축물 포함하여 매매가는 9억 5천만원입니다.</t>
  </si>
  <si>
    <t>토지/매매·부동산포스·피앤케이공인중개사사무소 (80m)</t>
  </si>
  <si>
    <t>노형동 937-4</t>
  </si>
  <si>
    <t>7억</t>
  </si>
  <si>
    <t>◆ 제주시 노형동 토지 매매
- 위치 : KT&amp;G건물 인근
- 대지면적 : 227.8㎡ (68.9)
- 용도지역 : 제2종일반주거지역
                   (건폐율 60% / 용적률 250%, 고도지구 45M이하)
- 도로 : 약 8m폭 도로접
- 방향 : 서향
- 주변환경 : 단독,다가구,상가주택 등 밀집지역
- 용도 : 다가구, 상가주택 등의 신축용도
&lt;중개대상물의 표시 · 광고 명시사항 관련정보&gt;
개설등록번호 :가-4402-1553</t>
  </si>
  <si>
    <t>토지/매매·한국공인중개사협회·연동공인중개사사무소 (136m)</t>
  </si>
  <si>
    <t>노형동 929-15</t>
  </si>
  <si>
    <t>26억</t>
  </si>
  <si>
    <t>?*급매 가격 입니다
*드림타워 바로 옆 코너 접 
*일반상업지역 (건폐율 80%,용적률 1,000%)
*위치 좋아서 건축 후 상가 임대 수익 및 투자용 으로도 좋습니다(적극 추천)
*평당 3,500~4,000만원 까지 했든 곳 입니다
&lt;중개대상물의 표시 · 광고 명시사항 관련정보&gt;
개설등록번호 :50110201700022</t>
  </si>
  <si>
    <t>토지/매매·한국공인중개사협회·미래그린공인중개사사무소 (198m)</t>
  </si>
  <si>
    <t>노형동 931-7</t>
  </si>
  <si>
    <t>18억</t>
  </si>
  <si>
    <t>?*드림타워 부근이라 위치 좋습니다 
*주변 먹거리로 계속 형성 되고 있습니다
*현재 주택 1채 있습니다
*리모델링 해서 상가로 사용하셔도 좋습니다
*주변 상가들 중국 손님들 많습니다
&lt;중개대상물의 표시 · 광고 명시사항 관련정보&gt;
개설등록번호 :50110201700022</t>
  </si>
  <si>
    <t>토지/매매·한국공인중개사협회·미래그린공인중개사사무소 (302m)</t>
  </si>
  <si>
    <t>노형동 3781-4</t>
  </si>
  <si>
    <t>25억</t>
  </si>
  <si>
    <t>♡♡♡전화 문의 환영합니다.♡♡♡
 .노형오거리  대도로변 바로 뒤??
.준주거지역
.토지면적 : 312.3㎡(94.5)
.매매가 : 25억(절충 가능)--3.3㎡당 26백만 정도
.건폐율 60% 용적률 300(최대400)% 적용토지
.사업장부지 용도
-클리닉센타(적극 추천 드림)
-기타
.최고높이  40미터 이하
.전화주세요   
&lt;중개대상물의 표시 · 광고 명시사항 관련정보&gt;
개설등록번호 :50110-2021-00065</t>
  </si>
  <si>
    <t>토지/매매·한국공인중개사협회·네오비젼공인중개사사무소 (395m)</t>
  </si>
  <si>
    <t>노형동 913-8</t>
  </si>
  <si>
    <t>43억</t>
  </si>
  <si>
    <t>ㅇ제주 랜드마크 드림타워 인근. 4차선 도로에 접한 
   일반상업지역의 나대지입니다
  - 건폐율 : 80%, 용적률 : 1,000% *고도지구 : 55M 이하
ㅇ현재 자치단체에 무상 임대 중임(주차장 용도)
  - 재산세 감면 혜택
&lt;중개대상물의 표시 · 광고 명시사항 관련정보&gt;
개설등록번호 :50110-2017-00113</t>
  </si>
  <si>
    <t>토지/매매·한국공인중개사협회·제주다산 공인중개사사무소 (428m)</t>
  </si>
  <si>
    <t>노형동 912-7</t>
  </si>
  <si>
    <t>57억</t>
  </si>
  <si>
    <t>1.이마트, 드림타워 바로 앞 노형동 최고요지
2. 주위 인프라 잘갖춰져 있으며, 향 후 부동산 활성화 시
   상가건물 및 주상복합용도로 적합
3. 매매가 57억원
   제주중앙로114공인중개사사무소 
           010-7900-2228으로 연락 주시면 
                        자세히 안내 드립니다. 감사합니다
&lt;중개대상물의 표시 · 광고 명시사항 관련정보&gt;
개설등록번호 :50110-2021-00129</t>
  </si>
  <si>
    <t>토지/매매·한국공인중개사협회·제주중앙로114공인중개사사무소 (436m)</t>
  </si>
  <si>
    <t>노형동 1296-9</t>
  </si>
  <si>
    <t>230억</t>
  </si>
  <si>
    <t>노형오거리 대로변 상업지역
호텔등  다용도 사업부지
(건폐율 80% 용적률 1000%) 
이외 제주도 매물 다수보유
(제주도 매도,매수문의 환영)
문의 공인중개사  (직) 010-2823-4949</t>
  </si>
  <si>
    <t>토지/매매·부동산써브·라온부동산공인중개사무소 (561m)</t>
  </si>
  <si>
    <t>노형동 1296-4</t>
  </si>
  <si>
    <t>190억</t>
  </si>
  <si>
    <t>제주도의 명동,노형핵심상업지구,드림타워맞은편,랜드마크부지 (독점전속)
매물의 현황: 
- 소재지:제주특별자치도 제주시 노형동 1296-4 (도령로 7-1) 
- 지목: 대지(대) 
- 용도지역: 일반상업지역
- 공부면적: 1,317㎡ (약 398평) 
 (사용가능면적: 1,305㎡ (도시계획도로 편입 12㎡ 제외) 
- 건페율 / 용적률: 80% / 800% (현행) → 1,000~1,200% (2027~) 
- 현 구조물: 노형동 공업사 (노후 건축물, 즉시 철거 가능) 
- 개발별공시지가: 4,654,000원/㎡ (2025년 기준) 
- 소유구분: 법인 (2025-11-28 소유권 이전) 
- 접면도로: 대로1류(35~40m), 소로1류(10~12m) 등 3면 접도 
- 지구/구역:고도지구(55m→해제예정), 방화지구, 시가지경관지구(중심) 
- 매입가: 190억원
매물의 장점: 
1. 드림타워 직근 입지
2. 2027년 고도제한 해제 확정 추진
제주 드림타워(169m, 38층)에서 도보 2~3분 거리. 5년간 방문객 1,150만명, 월 매출 600억원 돌파한 메가 랜드마크 바로 옆.
30년간 유지된 고도지구 규제 전면 해제 → 일반상업지역 최대 160m(40층) 허용. 2026년 조례 개정, 2027년 시행 확정.
3. 노형 상업지구 마지막 대형 필지
4. 용적률 1,000% 시대 도래시  최대 수혜
노형오거리 핵심 상권에서 300평 이상 단일 필지는 사실상 이곳이 유일. 더 이상 나오지 않는 희소 자산.
일반상업지역 용적률 기준 800% → 허용 1,000% → 인센티브 활용 시 1,200%까지 가능.
5. 즉시 개발 가능
법인 소유, 기존 노후 구조물(공업사) 해체 후 즉시 착공 가능. 별도 합필/분할 불필요.
"이 부지를 선점하는 것은 2027년 제주 스카이라인 변화의 중심에 서는 것입니다."
"제주 드림타워(카지노 포함)를 놀이터로 삼고,
영구소유와 상속을 희망하는  중화권 슈퍼(스몰)리치의 니즈에</t>
  </si>
  <si>
    <t>토지/매매·교차로부동산·제주부동산 다 공인중개사 사무소 (562m)</t>
  </si>
  <si>
    <t>노형동 904-11</t>
  </si>
  <si>
    <t>20억 4,000</t>
  </si>
  <si>
    <t>ㅇ제주 랜드마크 드림타워 150m 거리의 일반상업지역 나대지입니다
    - 건폐율 : 80%,   용적률 : 1,000%  *고도지구 : 55M 이하
    - 대로에서 1필지 뒤에 입지</t>
  </si>
  <si>
    <t>토지/매매·매경부동산·제주다산공인중개사사무소 (525m)</t>
  </si>
  <si>
    <t>노형동 3792-9</t>
  </si>
  <si>
    <t>36억</t>
  </si>
  <si>
    <t>★우편집중국인근 대지 매매올립니다 ★
-노형,학교,주택,상가등최고상권중심지
-왕복8차선도로접 ,상가(병.의원)건물건축추천
-자세한사항은 전화주세요 오늘도 행복하세요~~^^</t>
  </si>
  <si>
    <t>토지/매매·부동산포스·제주희망공인중개사사무소 (496m)</t>
  </si>
  <si>
    <t>노형동 1280-3</t>
  </si>
  <si>
    <t>105억</t>
  </si>
  <si>
    <t>노형로타리인근에위치한유일한 대형상가나오피스텔로적합한토지
&lt;중개대상물의 표시 · 광고 명시사항 관련정보&gt;
개설등록번호 :50110201900127</t>
  </si>
  <si>
    <t>토지/매매·한국공인중개사협회·매일공인중개사사무소 (683m)</t>
  </si>
  <si>
    <t>노형동 2537-13</t>
  </si>
  <si>
    <t>7억 9,000</t>
  </si>
  <si>
    <t>◆ 제주시 노형동 토지 매매
- 위치 : 노형초등학교 인근
- 토지면적 : 295㎡ (89) 
- 용도지역 : 제2종일반주거지역 (건폐율 60% / 용적률 250%) 
- 도로 : 약 8M 폭 도로 코너접 
- 주변현황 : 상가겸 주택, 빌라건물 등이 혼재 
- 주변인프라 : 반경 500M 내 초.중.고등학교, 중.대형마트, 각종병원 밀집, 교통편리 
- 용도 : 상가겸주택, 다가구 등의 신축용도 추천
◆ 언제나 최선을 다하여 정성껏 중개해드리겠습니다.
    정확한 매물정보 제공 &amp; 안심중개
    매물 내놓으실 때도 안심하고 맡겨주시길 바랍니다.
    연동공인중개사
    문석만 소장
    010-3690-7931
&lt;중개대상물의 표시 · 광고 명시사항 관련정보&gt;
개설등록번호 :가-4402-1553</t>
  </si>
  <si>
    <t>토지/매매·한국공인중개사협회·연동공인중개사사무소 (758m)</t>
  </si>
  <si>
    <t>호실별(구분상가·사무실)</t>
  </si>
  <si>
    <t>단지내상가</t>
  </si>
  <si>
    <t>1/17</t>
  </si>
  <si>
    <t>2019.08.30</t>
  </si>
  <si>
    <t>📍 핵심 정보
* 거래 유형: [매매]
* 가격: [6억5천만원]
* 권리금: [없음]
* 전용 면적: 36.31m²
* 층수: 총 17층중 1층  / 방향: [남향]
* 입주 가능일: [협의]
🗺️ 입지 및 상권 분석
* 드림타워 인근 위치
* 주변 인프라 최상
* 유동인구 많음
🏗️ 시설 및 현황
* 내부 시설 상태 매우 양호
* 주차 편리 (자주식 주차 가능)</t>
  </si>
  <si>
    <t>상가/매매·부동산포스·베리타공인중개사사무소 (255m)</t>
  </si>
  <si>
    <t>복합상가</t>
  </si>
  <si>
    <t>8억</t>
  </si>
  <si>
    <t>분양가에서 많이 손해보며 내놓은 매물입니다.</t>
  </si>
  <si>
    <t>상가/매매·부동산써브·제주삼정부동산중개 (255m)</t>
  </si>
  <si>
    <t>6억 3,000</t>
  </si>
  <si>
    <t>2019.11.21</t>
  </si>
  <si>
    <t>*급매(최초 분양가 9억7천700만원)
?*드림타워 바로옆 노형 이편한시티  오피스텔 건물내 1층 상가  
*현재 보증금 3천만원 월세 250만원 임대
*드림타워 호텔,오피스텔,병원, 기타 여러 직장들이 몰려 있어서 핫한곳
*안정적 으로 수익 원하시는 분 적극 추천 합니다
*웬만한 주택,상가 주택/건물 보다 투자성이 좋습니다
$$$다양한 매물을 보고 싶으시면$$$
클릭=&gt;&gt;&gt;https://www.jejuall.com/CProperty/myHome/params/num/142573
&lt;중개대상물의 표시 · 광고 명시사항 관련정보&gt;
개설등록번호 :50110201700022
입주가능일 :즉시입주
방향기준 :남향
방수 : 0개 욕실수 : 1개
건축물용도 :제2종 근린생활시설
위반건축물여부 : 해당없음
사용승인일 :20191121</t>
  </si>
  <si>
    <t>상가/매매·한국공인중개사협회·미래그린공인중개사사무소 (255m)</t>
  </si>
  <si>
    <t>중소형사무실</t>
  </si>
  <si>
    <t>노형동 711-2</t>
  </si>
  <si>
    <t>2/13</t>
  </si>
  <si>
    <t>3억 7,000</t>
  </si>
  <si>
    <t>2003.03.27</t>
  </si>
  <si>
    <t>📍 핵심 정보
* 거래 유형: [매매]
* 가격: [ 메매가 : 3억7천만원]
* 전용 면적: 80.07m²
* 건축물 용도: 오피스텔
* 층수: 총 13층중 2층 / 방향: [북향]
* 입주 가능일: [즉시 입주/협의]
🗺️ 입지 및 상권 분석
* 도로변 접한 노출좋은 상가
* 연북로 대도로변
🏗️ 시설 및 현황 (특징)
* 사무실 강추</t>
  </si>
  <si>
    <t>사무실/매매·부동산포스·베리타공인중개사사무소 (94m)</t>
  </si>
  <si>
    <t>일반사무실</t>
  </si>
  <si>
    <t>2/12</t>
  </si>
  <si>
    <t>1991.05.23</t>
  </si>
  <si>
    <t>당사 전속 물건입니다.
제주 시내 노형오거리 인근 희소한 규모(전용 143평)의 사무실 매각입니다.
감정평가액 10억 이상이나, 급매 물건으로 시세 대비 저렴한 7억 수준입니다.(금액 협의 가능)
분할매각 등에 대한 제안도 열려있으니 관심 있으신 분들은 편하게 연락 주시기 바랍니다.
담당자연락처
박진아 감정평가사/공인중개사 : 010-8666-4789
정유진 감정평가사/공인중개사 : 010-9543-8815
&lt;중개대상물의 표시 · 광고 명시사항 관련정보&gt;
개설등록번호 :11110201600017
입주가능일 :즉시입주
방향기준 :건물 출입구 기준
욕실 또는 화장실 : 0개
건축물용도 :업무시설
위반건축물여부 : 해당없음
사용승인일 :19910523</t>
  </si>
  <si>
    <t>사무실/매매·한국공인중개사협회·주식회사나라리얼티플러스부동산중개법인 (615m)</t>
  </si>
  <si>
    <t>노형동 904-1</t>
  </si>
  <si>
    <t>1/19</t>
  </si>
  <si>
    <t>2,000/166</t>
  </si>
  <si>
    <t>2023.03.20</t>
  </si>
  <si>
    <t>■매물정보
-매물구분 :  상가점포, 1종 근린생활시설
-매물번호 :  805
-거래형태 : 연세
-소재지 :  제주시 노형동 904-1
-보증금 : 2000 만원
-연세 : 2000 만원
-공급면적 : 60 ㎡
-전용면적 : 54.03 ㎡
-해당층/총층 :  1층 / 19층
-방향 : 북향 ( 출입구 기준 )
-주차대수 : 129
-월관리비(원) : 150,000원  ( 부과 기준: 최근 3개월 평균 기준, 관리 규약 등에 따라 부과. 포함내역:공용관리비,공용전기,공용수도,기타 관리비, 실비 등 포함 )
-난방시설 : 도시가스
-입주가능일 :  즉시가능 / 협의가능
-행정기관 승일일자 : 20230320
—---------------------------------
■ 매물번호 :  805
※ 담당자 24시간 상담번호: 문의 010-6202-0132
★노형오거리 인근 대도로면 상가점포 16 py★
■매물소개
💠  노형동 대도로변 💠
✔️ 1층 상가점포 
✔️ 도령도 대도로변으로 가시성이 좋습니다 
📌 노형오거리 인근 위치 
📌노형프레스티지125  건물 1층 (건물 2층부터 19층까지 3룸 125세대)
📌드림타워, 이마트까지 걸어서 약 10분 거리 
💖 기본 인테리어 되어 있습니다! (바닥, 천정, 벽, 유리문) 
💖 시스템 에어컨 있습니다 ( 냉온풍 가능) 
✅전용면적: 약 16py
🚕 지하주차장 1대 고정 주차 가능 (고정 주차 추가시 요금 1만원 발생, 최대 2대 예정) 
( 손님의 경우 인근 공영주차장 이용 가능) 
🚩 1층에 상가전용 화장실 있습니다 (남, 녀 구분되어 넓게 되어 있습니다 ) 
🚩 다양한 업종 가능 합니다 
♦️보증금:   2000만원
♦️연세:   2000만원 부가세 별도 
🙆문의주세요!
문의 010-6202-0132
&lt;중개대상물의 표시 · 광고 명시사항</t>
  </si>
  <si>
    <t>상가/월세·한국공인중개사협회·RedBrick공인중개사사무소 (522m)</t>
  </si>
  <si>
    <t>일반상가 노형최고중심지 노형타워 상가</t>
  </si>
  <si>
    <t>노형동 1288-5 노형최고중심지 노형타워 상가</t>
  </si>
  <si>
    <t>1/7</t>
  </si>
  <si>
    <t>5,000/350</t>
  </si>
  <si>
    <t>2009.02.20</t>
  </si>
  <si>
    <t>▨ 노형타워 1층에 입점되어 있는 상가 임대 ▨ 
[매물설명]
◈ 임대금액 :  보증금 5천 / 월 350만원
◈ 해당층 및 총층 : 1/6
◈ 제1종 근린생활시설
◈ 방향 : 출입구기준 동향
◈ 계약면적 : 95.85㎡(29Py)
◈ 전용면적 : 64.8㎡(19.6Py) 
◈ 주차 : 자주식 / 지하주차장
◈ 노형최고 중심상권으로 드림타워.이마트 .
각종병.의원.약국.극장.은행 등 다양한 업종이 
밀집되어  인구 이동이 가장 많은 지역 임.
=== 
♣ 매물 더 보기 : 
 아파트.주택.빌라.원룸.상가.OP.다가구 등
♣ 토지   
https://land.jejukcr.com/biz/fuji1212
♣ 블로그 
https://blog.naver.com/jejudo3355
=== 
♣ 아파트*상가*토지거래는 부영부동산 ♣
☎ 010-7179-2998  / 064) 743-9900
ⓞ 한라초*중 서쪽. 부영 5차 아파트 상가</t>
  </si>
  <si>
    <t>상가/월세·매경부동산·부영부동산공인중개사사무소 (578m)</t>
  </si>
  <si>
    <t>1,200/100</t>
  </si>
  <si>
    <t>하와이오피스텔, 깔끔한 소형 사무실 임대
* 보증금 1,200만원 + 연세 1,200만원 * 
▶ 용도 : 사무실
▶ 구조 : 통사무실 또는 방2 구조 선택가능/ 화장실 복도에 남여구분
▶ 옵션 : 냉난방기, 수납장 등 
▶ 기본관리비 : 약 12-13만원 (인터넷 포함) 
▶ 내부 깔끔하여 바로 입주 가능합니다
문의 [제주송지공인중개사사무소] 010-8901-1231
&lt;중개대상물의 표시 · 광고 명시사항 관련정보&gt;
개설등록번호 :50110-2021-00116
입주가능일 :즉시입주
방향기준 :주출입구
욕실 또는 화장실 : 2개
건축물용도 :업무시설
위반건축물여부 : 해당없음
사용승인일 :19910523</t>
  </si>
  <si>
    <t>사무실/월세·한국공인중개사협회·제주송지공인중개사사무소 (615m)</t>
  </si>
  <si>
    <t>단지내상가 부영아파트상가동</t>
  </si>
  <si>
    <t>노형동 754-4 부영아파트상가동</t>
  </si>
  <si>
    <t>1,000/2,400</t>
  </si>
  <si>
    <t>2021.01.20</t>
  </si>
  <si>
    <t>현] 영업중이며  노형동 754-4 부영2차 @ 단지내 상가 입니다 
 상가는 33㎡ , 임대료는 (보1천월200만원 ~ 연세 2,400만원가능 )
​​710세대 단지 특성상  (권리금) 있습니다 /  1-2년 내 회수가능
부영2차 @ 아파트 710세대 / 단독 중개 사무실
​​여기단지는 710세대라 기본거래 꾸준히 나옵니다  (권리금 회수 가능한자리)
​단지 특성상 고정수요 - 바로 수입으로 이어지는 장점​ (전세,연세 꾸준 /입지좋아 신규 개업 대비 안정적)
​기존거래 이어받아 바로 영업 수입 가능하게  되어있습니다​
​대표전화 ; 010 6789 6304​ 감사 합니다</t>
  </si>
  <si>
    <t>상가/월세·부동산써브·노형114공인중개사사무소 (622m)</t>
  </si>
  <si>
    <t>노형동 904-8</t>
  </si>
  <si>
    <t>2/7</t>
  </si>
  <si>
    <t>1,900/125</t>
  </si>
  <si>
    <t>2012.02.02</t>
  </si>
  <si>
    <t># 노형오거리, 드림타워 도보권 2층 ★무권리 상가 임대
=&gt; 2~3층 두개층이 모두 독서실로 운영되었던 곳으로 현재는 운영하지 않음. 
=&gt; 각 층당 동일면적 동일 임대료임(두층을 모두 사용할때 금액 조정가능)
중개사 tip
[매물안내]
. 전용 : 166.7㎡(50평형)
. 관리비 : 10만원(공동관리비만, 수도, 전기, 인터넷 별도)
. 용도 : 제2종근린생활시설(독서실)
. 내부 남/녀 분리화장실, 룸9개, 다용도실
. 엘베있음.</t>
  </si>
  <si>
    <t>상가/월세·부동산뱅크·차공인중개사사무소 (490m)</t>
  </si>
  <si>
    <t>층별(층 전체 임대·매매)</t>
  </si>
  <si>
    <t>노형동 719-4</t>
  </si>
  <si>
    <t>5/6</t>
  </si>
  <si>
    <t>3,000/375</t>
  </si>
  <si>
    <t>2002.03.13</t>
  </si>
  <si>
    <t>📍연북로 대로변, 병원·학원·사무실 추천 대형 상가 임대
연북로 대로변에 접해 있어 접근성과 가시성이 뛰어나며, 
인근에 병원·학원·사무실이 밀집해 있어 다양한 업종의 입점이 가능합니다.
※임대 조건 (5층 기준)
보증금 3,000만원 / 연세 4,500만원
(네이버 부동산은 연세 표기가 불가하여 부득이 월세로 등록하였습니다)
■ 현재 3층 일부, 4층, 5층이 공실 상태이며 함께 임대 가능합니다.
3층 일부 : 188.46㎡
4층 : 373.61㎡
5층 : 373.61㎡
층별 임대 및 통합 임대 협의 가능합니다.
■ 건물 특징
✔ 연북로 대로변 위치
✔ 병원·학원·사무실 밀집지역
✔ 승객용 엘리베이터 설치
✔ 남녀 구분 화장실
✔ 지하주차장 이용 가능
✔ 건물 후면 추가 주차 가능
✔ 넓은 전용면적으로 다양한 업종 활용 가능
병원, 의원, 학원, 사무실, 스튜디오, 교육시설 등 공간 활용도가 높은 매물입니다.
📞 방문 예약 : 제주예스공인중개사 010-8445-4620
광고에 공개되지 않은 매물도 다수 보유하고 있습니다.
원하시는 지역, 평수, 예산, 업종을 말씀해 주시면 
직접 확인한 매물까지 포함하여 조건에 맞는 공간을 성심껏 찾아드리겠습니다.</t>
  </si>
  <si>
    <t>상가/월세·부동산뱅크·제주예스공인중개사사무소 (152m)</t>
  </si>
  <si>
    <t>일반상가 제주드림타원인근</t>
  </si>
  <si>
    <t>노형동 923-4 제주드림타원인근</t>
  </si>
  <si>
    <t>2,000/200</t>
  </si>
  <si>
    <t>2020.06.09</t>
  </si>
  <si>
    <t>.신축급 컨디션을 갖춘 건물로 내외관이 매우 깔끔하며 세련된 비즈니스 이미지를 
연출할 수 있습니다.
.한 층을 통째로 사용하여 프라이버시가 보장되며 층 전체를 원하는 컨셉으로 
자유롭게 기획할 수 있습니다.
.노형동 도심 한복판에서 찾아보기 힘든 넓은(약25평) 옥외베란다 공간이 있어 
 루프탑가든, 야외 라운지, 감각적인 휴식 공간 등 차별화된 공간 마케팅이 가능합니다.
. 5층 높이에서 즐기는 도심의 시원한 뷰와 함께 고급스런 분위기 연출이 가능한 장점들을 
갖추고 있습니다.
. 프리미엄 뷰티 또는 프라이빗 멤버심 라운지 공간을 찾으시는 분에게 추천드리고 싶습니다.
현장 안내 예약 및 궁금한 점이 있으시면 언제든 아래 연락처로 편하게 문의주세요
문의 : 010-5522-0385 제주탑부동산 송영주</t>
  </si>
  <si>
    <t>상가/월세·알터·제주탑공인중개사사무소 (170m)</t>
  </si>
  <si>
    <t>노형동 920-6</t>
  </si>
  <si>
    <t>3/5</t>
  </si>
  <si>
    <t>3,500/291</t>
  </si>
  <si>
    <t>2005.03.04</t>
  </si>
  <si>
    <t>■매물정보
-매물구분 :  상가점포, 1종 근린생활시설
-매물번호 :  811
-거래형태 : 연세
-소재지 :  제주시 노형동 (상세주소는 의뢰인 요청으로 비공개)
-보증금 : 3500 만원
-연세 : 3500 만원
-공급면적 : 270 ㎡
-전용면적 : 258 ㎡
-해당층/총층 :  3층 / 5층
-방향 : 남향 ( 거실 기준 )
-주차대수 : 7
-월관리비(원) : 200,000원  ( 부과 기준: 최근 3개월 평균 기준, 관리 규약 등에 따라 부과. 포함내역:공용관리비,공용전기,기타 관리비, 실비 등 포함 )
-입주가능일 :  즉시가능 / 협의가능
-행정기관 승일일자 : 20050304
—---------------------------------
■ 매물번호 :  811
※ 담당자 24시간 상담번호: 문의 010-6202-0132
★노형중심 3층 80py  상가 사무실 임대 병의원★
■매물소개
💠 대도로변 3층 상가   💠
✔️ 이마트, 롯데마트 대도로변 
✔️ 병의원, 사무실 등 다양한 업종 가능 
✔️인근 건물에 병원 다수, 본 건물에도 병의원 있습니다 
📌 전층 사용 
📌엘리베이터 있음
📌 남녀 구분된 화장실 
📌기존 사무실로 사용하였던 인테리어 되어 있는 상태 입니다 (무권리) 
(탕비실, 회의실, 사장실, 홀 등 )  
💖 가시성 좋은 노형 중심 대도로변
💖 외국인, 한국인 등  워킹 많은 거리 
✅면적: 258.74m² (약 78py)
🚕 지하 주차장 이용가능 (7대)
🚩관리비 약 20-25만원/월 
🚩즉시 입주 가능! 
♦️보증금:   3500만원
♦️연세:   3500만원 (부가세 별도)  *월세도 협의 가능합니다! 
🙆문의주세요!
문의 010-6202-0132
&lt;중개대상물의 표시 · 광고 명시사</t>
  </si>
  <si>
    <t>상가/월세·한국공인중개사협회·RedBrick공인중개사사무소 (201m)</t>
  </si>
  <si>
    <t>노형동 725</t>
  </si>
  <si>
    <t>2/5</t>
  </si>
  <si>
    <t>4,000/290</t>
  </si>
  <si>
    <t>2008.12.12</t>
  </si>
  <si>
    <t>상가 건물 임대 
- 위치 : 아파트 대단지 앞 사거리 코너
- 번화가 횡단보도 바로 앞 2층으로 최고의 위치
- 전용면적 50평 ( 165㎡ )
- 보증금 4천만 / 연세 3500만원
- 엘리베이터 있음
- 화장실 남/여 분리 1개
 추천 업종 
- 의원 / 사무실
 입지 
- 아파트 대단지 앞 사거리로 유동인구가 가장 많음
- 은행, 병원 밀집지역
- 버스 정류장 바로 앞 위치
- 노형오거리 대비 임대 금액 저렴
☎ 소나무 부동산 010-9798-8545 / 064-712-7542 
☎ 방문 환영</t>
  </si>
  <si>
    <t>사무실/월세·한경부동산·소나무공인중개사사무소 (201m)</t>
  </si>
  <si>
    <t>노형동 3784-12</t>
  </si>
  <si>
    <t>4/5</t>
  </si>
  <si>
    <t>2,000/159</t>
  </si>
  <si>
    <t>2018.05.08</t>
  </si>
  <si>
    <t>노형2지구 4층 사무실 임대
* 보증금 2,000만원 + 연세 1,900만원 *
▶ 2018년 준공
▶ 용도 : 2종근린생활시설 
▶ 구조 : 사무실, 회의실, 화장실2
▶ 옵션 : 냉난방기 
▶ 기본관리비 : 1년 180만원  
** 노형2지구 신축급 사무실 입니다
** 노형2차 아이파크 후문에 위치
** 학원가능합니다!
** 즉시입주
문의 [제주송지공인중개사사무소] 010-8901-1231</t>
  </si>
  <si>
    <t>사무실/월세·부동산써브·제주송지공인중개사사무소 (233m)</t>
  </si>
  <si>
    <t>일반상가 한라초 인근 학원추천용 상가</t>
  </si>
  <si>
    <t>노형동 726-2 한라초 인근 학원추천용 상가</t>
  </si>
  <si>
    <t>6/6</t>
  </si>
  <si>
    <t>2,000/183</t>
  </si>
  <si>
    <t>2003.12.04</t>
  </si>
  <si>
    <t>[매물설명]
◈ 위치 : 노형동 연북로 KT＆G 맞은편 덕성빌딩
  6층 상가
◈ 임대금액 :  보증금 2천만 / 연세 2천2백만
◈ 즉시 입주 가능함
◈ 해당층 및 총층 : 6/6
◈ 1종 근린생활시설
◈ 방향 : 출입구기준 남향
◈ 구조 : 강의실6. 원장실1. 탕비실. 화장실 등 
◈ 전용면적 : 255.71㎡(77.49Py) 
◈ 특징
 - 한라초,중, 제일고 등 제주 최고 학군지
 - 학원으로 운영하시기를 추천. 입지조건이 좋아 
다른 업종도 가능함
 - 인테리어 학원시설로 인테리어 되어 있고 같은 층에 
수학과학학원 운영중
=== 
♣ 매물 더 보기 : 
 아파트.주택.빌라.원룸.상가.OP.다가구 등
♣ 토지   
https://land.jejukcr.com/biz/fuji1212
♣ 블로그 
https://blog.naver.com/jejudo3355
=== 
♣ 아파트*상가*토지거래는 부영부동산 ♣
☎ 010-7179-2998  / 064) 743-9900
ⓞ 한라초*중 서쪽. 부영 5차 아파트 상가</t>
  </si>
  <si>
    <t>상가/월세·매경부동산·부영부동산공인중개사사무소 (353m)</t>
  </si>
  <si>
    <t>일반상가 한라초중 인근 학원가 밀집지 학원</t>
  </si>
  <si>
    <t>노형동 727-3 한라초중 인근 학원가 밀집지 학원</t>
  </si>
  <si>
    <t>2/6</t>
  </si>
  <si>
    <t>3,000/250</t>
  </si>
  <si>
    <t>2008.01.11</t>
  </si>
  <si>
    <t>[매물설명]
◈위치 : 연북로 제주은행인근 학원가능한 상가
◈임대금액 : 보증금3천만원 / 년세3천만원(부가세별도)
◈ 면적 : 212.28㎡(64평 정도) 
◈ 방향 : 북향 
◈ 입점 : 빠른 협의 가능 
◈ 용도 : 교육연구시설
◈ 구조 : 현재 학원 운영 중
  ⇒ 에어컨 8대 등 일괄 인수 가능
◈ 권리금 : 3천(협의)
◈ 대단지아파트 및 각종 학원들이 모여 있어 유동인구 많음.
◈궁금하신 사항은 전화 문의 주세요.
 ===  
♣ 매물 더 보기 : 
 아파트.주택.빌라.원룸.상가.OP.다가구 등
♣ 토지   
https://land.jejukcr.com/biz/fuji1212
♣ 블로그 
https://blog.naver.com/jejudo3355
=== 
♣ 아파트*상가*토지거래는 부영부동산 ♣
☎ 010-7179-2998  / 064) 743-9900
ⓞ 한라초*중 서쪽. 부영 5차 아파트 상가</t>
  </si>
  <si>
    <t>상가/월세·매경부동산·부영부동산공인중개사사무소 (374m)</t>
  </si>
  <si>
    <t>노형동 939-4</t>
  </si>
  <si>
    <t>2/10</t>
  </si>
  <si>
    <t>2,000/2,500</t>
  </si>
  <si>
    <t>1995.09.23</t>
  </si>
  <si>
    <t>★★★ 신라면세점 무권리금 입지좋은 인테리어 완비한 이쁜 카페 임대 ★★★
· 위치 : 드림타워-신라면세점 사이
· 구조 : 홀 / 주방 / 화장실
· 면적 : 전용 214.5㎡ (65평)
· 금액 : 보증금 2000만원 / 연세 2500만원 (VAT 별도)
· 권리금 : 없음
· 관리비 : 8만원 
· 입주시기 : 빠른 협의 입주
· 상세설명 
  ✓ 드림타워-신라면세점 사이 이쁜 카페 임대
  ✓ 1층 전용 주출입구가 있는 2층 카페
  ✓ 현 카페로 이용
  ✓ 인테리어 완비
  ✓ 무권리금 
  ✓ 집기류 필요 시 저렴하게 금액 협의 후 인계 (필요 없을 시 철거 예정)
  ✓ 에어컨, 테이블, 의자, 선반, 냉장고, 냉동고, 산업용 냉장고, 냉동고 등 사진 상 보이는 집기 일체 (사진 상 전부 포함)
  ✓ 바로 영업 가능
  ✓ 주차 1대 가능
  ✓ 드림타워와 신라면세점 사이 최고의 입지 조건
  ✓ 외국인 관광객 및 도민 유동인구가 많아 안정적인 배후수요
  ✓ 주변 공공기관, 은행, 병원, 마트, 식당 등 생활 인프라 풍부
  ✓ 인근 버스 정류장이 있어 교통 편리
  ✓ 카페, 음식점, 오마카세, 소매점 등 추천
  ✓ 자세한 사항은 전화 문의 바랍니다 :)
♣♣ ♣♣ ♣♣ ♣♣ ♣♣ ♣♣ ♣♣ ♣♣ ♣♣ ♣♣  
“ 매물 접수부터 계약까지 연중무휴 ”
“ 제주 전 지역 중개하는 뉴제주공인중개사 ”
“ 친절한 상담, 정확한 정보, 투명한 거래로 고객님과 함께 합니다 ”
“ 매물 접수 및 상담 문의 ☎ 010-3236-8760 ”</t>
  </si>
  <si>
    <t>상가/월세·교차로부동산·뉴제주공인중개사사무소 (378m)</t>
  </si>
  <si>
    <t>노형동 3780-4</t>
  </si>
  <si>
    <t>3/6</t>
  </si>
  <si>
    <t>2020.04.06</t>
  </si>
  <si>
    <t># 이마트 도보권. 이마트 인근 핵심상권.  도보권에 병원, 약국등이 즐비한 입지임.
   권리금이 없으며, 현재 시설물은 임대인과 협의하여 존치여부 결정가능. 
[5층 매물설명]  
. 임대금액 : 3000/3000(부가세 별도/년세계약임)
. 구조 : 룸4, 탕비실1, 홀1, 화장실 남녀 구분.
  =&gt; 현재 구획만 되어 있으며 집기류는 없는 상태입니다. 
  =&gt; 노출콘크리트로 마감된 고급스러운 스타일의 사무실입니다. 
    5개의 룸이 회의실, 탕비실등 홀 등 쓰임새 있게 구성되어 고객을 직접 만나는 등의 업종에 적합합니다. 
    내부 인테리어에 많은 비용이 든만큼 그대로 사용할 임차인을 선호합니다. 인테리어에 대한 권리금은 없으며 임대인과 협의하여 존치 여부 결정 가능합니다. 
. 관리비 : 350,000원.
. 입주 : 즉시입주가능
. 공급/전용면적 : 70평/60평
. 해당층 및 총층 : 5/6
. 방향 : 동남방향.
. 옵션 : 냉난방비 6대 설치됨.
[주변입지]
. 이마트 도보 5분.
. 병의원, 식당, 카페, 상권 밀집지역.
. 공영주차장 바로 앞.
.</t>
  </si>
  <si>
    <t>상가/월세·부동산뱅크·차공인중개사사무소 (499m)</t>
  </si>
  <si>
    <t>대형사무실 미방빌딩</t>
  </si>
  <si>
    <t>노형동 1295-17 미방빌딩</t>
  </si>
  <si>
    <t>8/8</t>
  </si>
  <si>
    <t>2,500/230</t>
  </si>
  <si>
    <t>2001.06.19</t>
  </si>
  <si>
    <t>노형동 대도로변에 위치하여 접근성이 좋아요
꼭대기층 한층을 모두사용하는 대형사무실로 현재 4개의 룸이 따로 분리되어있어요
용도에 맞게 인테리어 변경 가능합니다
◈ 매물제목 : 대형 사무실임대
◈ 거래유형 : 임대
◈ 소재지역 : 제주시 노형오거리 부근
◈ 면적정보 :  234.2㎡ (약 70py)
◈ 금액정보 : 보증금 2500만/연세 2500만 (월세 230만원)
◈ 층수정보 : 8층 / 8층
◈ 실내정보 : 현재 프론트 , 응접실외 4개의 사무실로 분리되어있고 탕비실과 남,여 화장실 있습니다
◈ 입주가능일 : 즉시입주가능
◈ 관리비 : 기본36만원(수도포함)+개별 전기세별도 
** 참고사항 **
현재 상태의 매물사진 참고 해주세요
월세 연세 모두 가능하며 
연세계약시 보증금 2500만원 연 2500만원 -&gt;14개월 임대가능
월세계약시 보증금 2500만원 월 230만원 -&gt; 최초 2달 랜트프리</t>
  </si>
  <si>
    <t>사무실/월세·부동산써브·제주다모아공인중개사사무소 (611m)</t>
  </si>
  <si>
    <t>일반상가 노형오거리 병원 상가</t>
  </si>
  <si>
    <t>노형동 1288-1 노형오거리 병원 상가</t>
  </si>
  <si>
    <t>3/8</t>
  </si>
  <si>
    <t>2003.12.22</t>
  </si>
  <si>
    <t>[매물설명]
◈ 위치 : 노형오거리 인근 상가(8층 상가)
◈ 임대금액 :  
 3층 - 보증금 : 2천만 / 연세  : 2천만
  * 피부과 했던 자리로서 인테리어 되어 있음. 
 확장 이전함 (권리금 1천만)
 6층 - 보증금 : 2천만 / 연세  : 2천만
◈ 즉시 입주 가능함
◈ 해당층 및 총층 : 3층 및 6층/ 8층
◈ 1종 근린생활시설
◈ 방향 : 출입구기준 북동향
◈ 전용면적 : 85.34㎡(56.07Py)
◈ 주차 : 주변에 주차 편리함
  ★ 인근 공영주차장도 있음
◈ 특징 
 - 이미 내과, 치과, 신경과 등 이미 입점해 있어 
병원 업종 추천
 - 노형동 최고 상권지역이라 다양한 업종도 가능함
=== 
♣ 매물 더 보기 : 
 아파트.주택.빌라.원룸.상가.OP.다가구 등
♣ 토지   
https://land.jejukcr.com/biz/fuji1212
♣ 블로그 
https://blog.naver.com/jejudo3355
=== 
♣ 아파트*상가*토지거래는 부영부동산 ♣
☎ 010-7179-2998  / 064) 743-9900
ⓞ 한라초*중 서쪽. 부영 5차 아파트 상가</t>
  </si>
  <si>
    <t>상가/월세·매경부동산·부영부동산공인중개사사무소 (615m)</t>
  </si>
  <si>
    <t>일반상가 한라대인근 6차선대로변상가</t>
  </si>
  <si>
    <t>노형동 3811-1 한라대인근 6차선대로변상가</t>
  </si>
  <si>
    <t>3/4</t>
  </si>
  <si>
    <t>5,500/458</t>
  </si>
  <si>
    <t>2016.03.03</t>
  </si>
  <si>
    <t>*입주시 보증금5,500만원/연5,500만원일시불이며,
 빠른 결정시 임대료 일부조정 노력하겠습니다^^;.
*한라대인근 6차선 대로변 광고효과 최상의 무권리 상가.
*4층중 3층 임대이며 병,의원등 강추합니다.
*업종제한은 없으며,100Py에 넓고 반듯하여 사용하시기 편리합니다.
*부가세는 별도이며 관리비는 월400,000만원임.
 (관리비:수도 및 엘베사용료,오폐수요금,소방관리비,공동전기,계단청소등등).
*기타 자세한 사항은 010-3520-6412 어울림공인중개사로 문의바랍니다.</t>
  </si>
  <si>
    <t>상가/월세·매경부동산·어울림공인중개사사무소 (909m)</t>
  </si>
  <si>
    <t>노형동 3788-17</t>
  </si>
  <si>
    <t>4/B3</t>
  </si>
  <si>
    <t>2,000/184</t>
  </si>
  <si>
    <t>2017.05.12</t>
  </si>
  <si>
    <t>*입주시 보증금2천만원/연2,200만원 일시불이며 무권리상가.
*노형오거리 도보 300미터 거리의 6차선 대로변에 위치한 4층중 3층 상가입니다.
*차량 통행량이 많은 노형오거리~평화로 방향 6차선 대로변이라 홍보효과도 좋은곳입니다.
*병원밀집지역이며 병원,사무실,학원등 다용도 가능함.
*권리금은 없으며, 원상회복된상태라 깔끔하게 정리되어있습니다.
*1층당 1대 전용 주차가능하며, 건물 뒷편에 공용주차장이 여러곳 있어 편리합니다.
*기타 자세한 사항은 010-3520-6412로 문의바랍니다.</t>
  </si>
  <si>
    <t>건물/월세·매경부동산·어울림공인중개사사무소 (586m)</t>
  </si>
  <si>
    <t>노형동 729-6</t>
  </si>
  <si>
    <t>1/3</t>
  </si>
  <si>
    <t>1,000/100</t>
  </si>
  <si>
    <t>2007.11.26</t>
  </si>
  <si>
    <t># 노형동 제주일고 인근 상가점포+1.5룸 임대
▶ 전용면적: 93.94㎡ (28.4평) 
▶ (상가+ 넓은1.5룸) 상가,화장실,방,주방 겸 거실,홀
▶ 거주 또는 휴게 공간으로 사용하며 사업을 겸할 수 있어 활용도 좋습니다
▶  권리금,관리비 없습니다
▶ 리모델링 되어 깨끗 / 즉시입점 가능합니다
▶ 지정 1주차 가능합니다
▶ 보증금 1,000 / 년세 1,200만원
e-땅에 공인중개사
010-9288-0651
◈제주 전지역 매물 접수및 상담 환영합니다
◈우대금리 등 다양한 혜택을 받을수 있는 전자계약 가능합니다
◈더 많은 매물을 보시려면--&gt;e-땅에공인중개사 (jejuall.com)클릭해주세요</t>
  </si>
  <si>
    <t>상가/월세·부동산써브·이(e)-땅에공인중개사사무소 (264m)</t>
  </si>
  <si>
    <t>일반상가 노형초인근 학원 사무실 가능한 상가</t>
  </si>
  <si>
    <t>노형동 2614-1 노형초인근 학원 사무실 가능한 상가</t>
  </si>
  <si>
    <t>2,500/141</t>
  </si>
  <si>
    <t>2010.06.18</t>
  </si>
  <si>
    <t>[매물설명]
◈위치 : 노형초인근 학원가능한 상가
◈임대금액 : 보증금2500만원 / 년세1700만원(부가세별도)
◈ 면적 : 159.34㎡(48평 정도) 
◈ 방향 : 북향 
◈ 입점 : 즉시 협의 가능 
◈ 구조 : 기존 학원했었음.
◈ 관리비,청소비.수도세포함 15만원
◈궁금하신 사항은 전화 문의 주세요.
===  
♣ 매물 더 보기 : 
 아파트.주택.빌라.원룸.상가.OP.다가구 등
♣ 토지   
https://land.jejukcr.com/biz/fuji1212
♣ 블로그 
https://blog.naver.com/jejudo3355
=== 
♣ 아파트*상가*토지거래는 부영부동산 ♣
☎ 010-7179-2998  / 064) 743-9900
ⓞ 한라초*중 서쪽. 부영 5차 아파트 상가</t>
  </si>
  <si>
    <t>상가/월세·매경부동산·부영부동산공인중개사사무소 (933m)</t>
  </si>
  <si>
    <t>3) 유사 경매사례 — 탱크옥션 매각·매각허가(상업·업무용/대지·숙박제외), 1km 내 사례 없어 제주시 권역 확대 / 단위: 원</t>
  </si>
  <si>
    <t>매각기일</t>
  </si>
  <si>
    <t>사건번호</t>
  </si>
  <si>
    <t>주소</t>
  </si>
  <si>
    <t>감정가</t>
  </si>
  <si>
    <t>낙찰가</t>
  </si>
  <si>
    <t>낙찰가율</t>
  </si>
  <si>
    <t>최저가율</t>
  </si>
  <si>
    <t>응찰</t>
  </si>
  <si>
    <t>법원·처분</t>
  </si>
  <si>
    <t>26.05.19</t>
  </si>
  <si>
    <t>2024-36376</t>
  </si>
  <si>
    <t>제주특별자치도 제주시 연동 1454, 2층 244호 (연동,나인몰)</t>
  </si>
  <si>
    <t>근린상가</t>
  </si>
  <si>
    <t>건물 31.52㎡(9.535평), 대지권 25.63㎡(7.753평)</t>
  </si>
  <si>
    <t>제주8계·토지·건물 일괄매각 (1105m)</t>
  </si>
  <si>
    <t>26.06.16</t>
  </si>
  <si>
    <t>2025-7375(1)</t>
  </si>
  <si>
    <t>제주특별자치도 제주시 연동 290-42, 1층 101호 (연동,천마에코피아오피스텔)</t>
  </si>
  <si>
    <t>건물 86.32㎡(26.112평), 대지권 29.531㎡(8.933평)</t>
  </si>
  <si>
    <t>제주6계·토지·건물 일괄매각 (1677m)</t>
  </si>
  <si>
    <t>26.05.26</t>
  </si>
  <si>
    <t>2025-1020</t>
  </si>
  <si>
    <t>제주특별자치도 제주시 노형동 133 엘리시아빌 101동 2층201호</t>
  </si>
  <si>
    <t>건물 182.56㎡(55.224평), 대지권 301.26㎡(91.131평)</t>
  </si>
  <si>
    <t>제주10계·토지·건물 일괄매각 (1689m)</t>
  </si>
  <si>
    <t>2025-8443</t>
  </si>
  <si>
    <t>제주특별자치도 제주시 노형동 3652 외 2필지</t>
  </si>
  <si>
    <t>위험물저장및처리시설</t>
  </si>
  <si>
    <t>건물 2253.55㎡(681.699평), 토지 8617㎡(2606.643평)</t>
  </si>
  <si>
    <t>제주6계·토지·건물 일괄매각 (2035m)</t>
  </si>
  <si>
    <t>2024-12943</t>
  </si>
  <si>
    <t>제주특별자치도 제주시 용담삼동 2296-2 외 1필지</t>
  </si>
  <si>
    <t>근린생활시설</t>
  </si>
  <si>
    <t>건물 659.4㎡(199.468평), 토지 4331㎡(1310.128평)</t>
  </si>
  <si>
    <t>제주5계·토지·건물 일괄매각 (4128m)</t>
  </si>
  <si>
    <t>26.06.09</t>
  </si>
  <si>
    <t>2025-1153</t>
  </si>
  <si>
    <t>제주특별자치도 제주시 회천동 1164-3</t>
  </si>
  <si>
    <t>공장</t>
  </si>
  <si>
    <t>건물 436.38㎡(132.005평), 토지 1649㎡(498.823평)</t>
  </si>
  <si>
    <t>제주7계·토지·건물 일괄매각 (12824m)</t>
  </si>
  <si>
    <t>2024-9633(2)</t>
  </si>
  <si>
    <t>제주특별자치도 서귀포시 안덕면 동광리 1602, 상가동 2층2206호 (마마뜰빌리지)</t>
  </si>
  <si>
    <t>건물 59.76㎡(18.077평), 대지권 92.9944㎡(28.131평)</t>
  </si>
  <si>
    <t>제주3계·토지·건물 일괄매각 (23669m)</t>
  </si>
  <si>
    <t>2024-13281</t>
  </si>
  <si>
    <t>제주특별자치도 서귀포시 안덕면 화순리 522</t>
  </si>
  <si>
    <t>동물및식물관련시설</t>
  </si>
  <si>
    <t>건물 177.6㎡(53.724평), 토지 1423㎡(430.458평)</t>
  </si>
  <si>
    <t>제주3계·토지·건물 일괄매각 (29821m)</t>
  </si>
  <si>
    <t>제주시 권역 상업용 경매 낙찰가율 평균(숙박제외·응찰 대부분 1명)</t>
  </si>
  <si>
    <t>※ 유념사항 (토지 평당단가 등)</t>
  </si>
  <si>
    <t>· 토지 평당단가: 노형동 710은 토지:건물 80:20 감정. 인근 '대지' 호가는 일반상업지역(드림타워·노형오거리 인접) 평당 약 3,500~4,500만원(예: 1296-9 230억/512평≈4,490만, 912-7 57억/104평≈5,490만), 준주거·주거지역은 평당 2,000~3,000만원대. 필지별 공시지가·실거래 토지단가는 추가 확인 필요(유념).</t>
  </si>
  <si>
    <t>· 분류 기준: '숙박 용도'(여관·모텔·콘도·생활형 객실·드림타워 925 객실)만 제외. 드림타워라도 빌딩/업무/상가였다면 포함 대상이나, 현재 925 매물은 전량 숙박 객실이라 빠짐. 빌딩·업무·상가·사무실·토지는 모두 포함.</t>
  </si>
  <si>
    <t>· 실거래(국토부)는 대부분 집합건물 '호실' 거래. 근생상가(720-1)는 층별 평당 약 1,000만원, 1층 코너상가(924-1)는 평당 3,000~6,000만원으로 층·위치별 편차 큼. 통건물 단가는 네이버 호가(섹션2) 참고.</t>
  </si>
  <si>
    <t>· 네이버는 '호가'(실거래 아님). 제주 상업용 임대는 '연세(年貰)' 관행이라 월세란 값은 연세를 월 환산하지 않은 표기가 많음(상세설명 원문 참조).</t>
  </si>
  <si>
    <t>· 경매: 노형동 710 반경 400m·1km 내 상업용 매각사례 없어 제주시 권역으로 확대(매각·매각허가 기준). 노형동 사례는 133 엘리시아빌 상가(낙찰가율 60%), 3652 부지(83%). 응찰자 대부분 1명.</t>
  </si>
  <si>
    <t>· 정확한 지번: 네이버 UI는 동까지만 노출 → 내부 API pnu(필지고유번호)로 본번-부번 복원 기재.</t>
  </si>
  <si>
    <t>시세조사 요약 및 비교표(주의: 기존 호매실동 예시자료 / 제주 시세조사 미반영)</t>
  </si>
  <si>
    <t>3. 시세조사내용</t>
  </si>
  <si>
    <t>1) 인근 실거래가</t>
  </si>
  <si>
    <t>(단위: 원)</t>
  </si>
  <si>
    <t>종류 / 층</t>
  </si>
  <si>
    <t>매매가</t>
  </si>
  <si>
    <t>평당가
(토지)</t>
  </si>
  <si>
    <t>비고
(사용승인)</t>
  </si>
  <si>
    <t>전용(평)</t>
  </si>
  <si>
    <t>①</t>
  </si>
  <si>
    <t>26.03.23</t>
  </si>
  <si>
    <t>호매실동
1400</t>
  </si>
  <si>
    <t>상가 / 
7층</t>
  </si>
  <si>
    <t>②</t>
  </si>
  <si>
    <t>25.06.12</t>
  </si>
  <si>
    <t>호매실동
1397</t>
  </si>
  <si>
    <t>상가 / 
2층</t>
  </si>
  <si>
    <t>③</t>
  </si>
  <si>
    <t>25.12.02</t>
  </si>
  <si>
    <t>호매실동
1398-1</t>
  </si>
  <si>
    <t>상가 / 
3층</t>
  </si>
  <si>
    <t>④</t>
  </si>
  <si>
    <t>25.10.17</t>
  </si>
  <si>
    <t>호매실동
1397-1</t>
  </si>
  <si>
    <t>상가 /
1층</t>
  </si>
  <si>
    <t>⑤</t>
  </si>
  <si>
    <t>24.12.16</t>
  </si>
  <si>
    <t>호매실동 
1398-1</t>
  </si>
  <si>
    <t>⑥</t>
  </si>
  <si>
    <t>24.09.04</t>
  </si>
  <si>
    <t>상가 /
4층</t>
  </si>
  <si>
    <t>⑦</t>
  </si>
  <si>
    <t>24.03.20</t>
  </si>
  <si>
    <t>호매실동
1400-2</t>
  </si>
  <si>
    <t>상가 / 
1층</t>
  </si>
  <si>
    <t>⑧</t>
  </si>
  <si>
    <t>⑨</t>
  </si>
  <si>
    <t>23.05.14</t>
  </si>
  <si>
    <t>호매실동 1399-2</t>
  </si>
  <si>
    <t>⑩</t>
  </si>
  <si>
    <t>호매실동 
1399-2</t>
  </si>
  <si>
    <t>2022</t>
  </si>
  <si>
    <t>⑪</t>
  </si>
  <si>
    <t>22.09.14</t>
  </si>
  <si>
    <t>호매실동 
1399-1</t>
  </si>
  <si>
    <t>평균</t>
  </si>
  <si>
    <t>1층 제외평균</t>
  </si>
  <si>
    <t>2) 인근 네이버 매물</t>
  </si>
  <si>
    <t>전용면적</t>
  </si>
  <si>
    <t>비고
사용승인 / 기보증금</t>
  </si>
  <si>
    <t>기보증금</t>
  </si>
  <si>
    <t>호매실동 1399</t>
  </si>
  <si>
    <t>상가 / 
3층전체</t>
  </si>
  <si>
    <t>호매실동 1399-1</t>
  </si>
  <si>
    <t>상가 /
 1층</t>
  </si>
  <si>
    <t>2500/160</t>
  </si>
  <si>
    <t>4,000/240</t>
  </si>
  <si>
    <t>4,000/200</t>
  </si>
  <si>
    <t>호매실동 1401</t>
  </si>
  <si>
    <t>상가 /
 5층</t>
  </si>
  <si>
    <t>무권리, 소유주 직영</t>
  </si>
  <si>
    <t>호매실동 1402</t>
  </si>
  <si>
    <t>2500/200</t>
  </si>
  <si>
    <t>호매실동 1400-2</t>
  </si>
  <si>
    <t>상가 / 
5층</t>
  </si>
  <si>
    <t>공실</t>
  </si>
  <si>
    <t>호매실동 1398</t>
  </si>
  <si>
    <t>상가 / 
4층</t>
  </si>
  <si>
    <t>2000/110</t>
  </si>
  <si>
    <t>호매실동 1398-2</t>
  </si>
  <si>
    <t>1000/65</t>
  </si>
  <si>
    <t>호매실동 1400</t>
  </si>
  <si>
    <t>1000/90</t>
  </si>
  <si>
    <t>1층 및 상가건물 제외평균</t>
  </si>
  <si>
    <t>3) 유사 경매사례(서울시 종로구25.01.01~26.12.31)</t>
  </si>
  <si>
    <t>낙찰일</t>
  </si>
  <si>
    <t>면적(㎡)</t>
  </si>
  <si>
    <t>법사가</t>
  </si>
  <si>
    <t>낙찰금액</t>
  </si>
  <si>
    <t>응찰자</t>
  </si>
  <si>
    <t>25.04.18</t>
  </si>
  <si>
    <t>2023-10121</t>
  </si>
  <si>
    <t>호매실동
1401</t>
  </si>
  <si>
    <t>오피스텔
(상가)</t>
  </si>
  <si>
    <t>토지 156㎡(47평)</t>
  </si>
  <si>
    <t>1명</t>
  </si>
  <si>
    <t>건물 642㎡(194평)</t>
  </si>
  <si>
    <t>25.06.10</t>
  </si>
  <si>
    <t>2023-75661</t>
  </si>
  <si>
    <t>25.06.27</t>
  </si>
  <si>
    <t>2023-8135</t>
  </si>
  <si>
    <t>토지 51㎡(15평)</t>
  </si>
  <si>
    <t>2명</t>
  </si>
  <si>
    <t>건물 211㎡(64평)</t>
  </si>
  <si>
    <t>26.05.15</t>
  </si>
  <si>
    <t>2024-9289[1]</t>
  </si>
  <si>
    <t>상가</t>
  </si>
  <si>
    <t>토지 95㎡(29평)</t>
  </si>
  <si>
    <t>건물 391㎡(118평)</t>
  </si>
  <si>
    <t>26.06.02</t>
  </si>
  <si>
    <t>2024-13080</t>
  </si>
  <si>
    <t>호매실동
1399-2</t>
  </si>
  <si>
    <t>토지 134㎡(41평)</t>
  </si>
  <si>
    <t>건물 614㎡(186평)</t>
  </si>
  <si>
    <t>26.06.12</t>
  </si>
  <si>
    <t>2024-97767</t>
  </si>
  <si>
    <t>토지 109㎡(33평)</t>
  </si>
  <si>
    <t>건물 447㎡(135평)</t>
  </si>
  <si>
    <t>1.5명</t>
  </si>
  <si>
    <t>제주 노형동 뉴월드복합빌딩 공매 차수별 조건</t>
  </si>
  <si>
    <t>개찰일시</t>
  </si>
  <si>
    <t>건물분 VAT 추정</t>
  </si>
  <si>
    <t>최저가+VAT 추정</t>
  </si>
  <si>
    <t>2026.06.22 10:00~18:00</t>
  </si>
  <si>
    <t>2026.06.23 09:00</t>
  </si>
  <si>
    <t>부가세 별도 / 토지:건물 80:20</t>
  </si>
  <si>
    <t>2026.06.29 10:00~18:00</t>
  </si>
  <si>
    <t>2026.06.30 09:00</t>
  </si>
  <si>
    <t>2026.07.06 10:00~18:00</t>
  </si>
  <si>
    <t>2026.07.07 09:00</t>
  </si>
  <si>
    <t>2026.07.13 10:00~18:00</t>
  </si>
  <si>
    <t>2026.07.14 09:00</t>
  </si>
  <si>
    <t>2026.07.20 10:00~18:00</t>
  </si>
  <si>
    <t>2026.07.21 09:00</t>
  </si>
  <si>
    <t>2026.07.22 10:00~18:00</t>
  </si>
  <si>
    <t>2026.07.23 09:00</t>
  </si>
  <si>
    <t>2026.07.27 10:00~18:00</t>
  </si>
  <si>
    <t>2026.07.28 09:00</t>
  </si>
  <si>
    <t>2026.07.29 10:00~18:00</t>
  </si>
  <si>
    <t>2026.07.30 09:00</t>
  </si>
  <si>
    <t>메모</t>
  </si>
  <si>
    <t>공고상 최저입찰가격은 부가세 별도이며, 낙찰가 중 건물가액(20%)의 10%를 별도로 부담하는 조건입니다.</t>
  </si>
  <si>
    <t>토지비율</t>
  </si>
  <si>
    <t>공매가 중지·취소·변경될 수 있으므로 입찰 전 우리자산신탁/온비드 재확인이 필요합니다.</t>
  </si>
  <si>
    <t>건물비율</t>
  </si>
  <si>
    <t>부가세율</t>
  </si>
  <si>
    <t>제주 노형동 뉴월드복합빌딩 감정평가 호실별 요약</t>
  </si>
  <si>
    <t>일련</t>
  </si>
  <si>
    <t>호실</t>
  </si>
  <si>
    <t>전유면적(㎡)</t>
  </si>
  <si>
    <t>공용면적(㎡)</t>
  </si>
  <si>
    <t>대지권면적(㎡)</t>
  </si>
  <si>
    <t>토지배분</t>
  </si>
  <si>
    <t>건물배분</t>
  </si>
  <si>
    <t>평당감정가(전유)</t>
  </si>
  <si>
    <t>101호</t>
  </si>
  <si>
    <t>소매점</t>
  </si>
  <si>
    <t>감정평가명세표 기준</t>
  </si>
  <si>
    <t>201호</t>
  </si>
  <si>
    <t>휴게음식점</t>
  </si>
  <si>
    <t>202호</t>
  </si>
  <si>
    <t>일반음식점</t>
  </si>
  <si>
    <t>301호</t>
  </si>
  <si>
    <t>학원</t>
  </si>
  <si>
    <t>302호</t>
  </si>
  <si>
    <t>303호</t>
  </si>
  <si>
    <t>304호</t>
  </si>
  <si>
    <t>305호</t>
  </si>
  <si>
    <t>306호</t>
  </si>
  <si>
    <t>307호</t>
  </si>
  <si>
    <t>308호</t>
  </si>
  <si>
    <t>309호</t>
  </si>
  <si>
    <t>310호</t>
  </si>
  <si>
    <t>311호</t>
  </si>
  <si>
    <t>312호</t>
  </si>
  <si>
    <t>313호</t>
  </si>
  <si>
    <t>401호</t>
  </si>
  <si>
    <t>402호</t>
  </si>
  <si>
    <t>403호</t>
  </si>
  <si>
    <t>404호</t>
  </si>
  <si>
    <t>405호</t>
  </si>
  <si>
    <t>406호</t>
  </si>
  <si>
    <t>407호</t>
  </si>
  <si>
    <t>408호</t>
  </si>
  <si>
    <t>409호</t>
  </si>
  <si>
    <t>410호</t>
  </si>
  <si>
    <t>411호</t>
  </si>
  <si>
    <t>412호</t>
  </si>
  <si>
    <t>골프연습장</t>
  </si>
  <si>
    <t>501호</t>
  </si>
  <si>
    <t>사무소</t>
  </si>
  <si>
    <t>502호</t>
  </si>
  <si>
    <t>601호</t>
  </si>
  <si>
    <t>602호</t>
  </si>
  <si>
    <t>603호</t>
  </si>
  <si>
    <t>604호</t>
  </si>
  <si>
    <t>605호</t>
  </si>
  <si>
    <t>대지권면적 합계는 호별 반올림값 합산</t>
  </si>
  <si>
    <t>공식 요약</t>
  </si>
  <si>
    <t>토지면적 1,113.8㎡ / 전유면적 3,763.48㎡ / 공용면적 2,440.04㎡ / 감정평가액 28,248,000,000원</t>
  </si>
  <si>
    <t>작업메모 및 추가 확인 필요사항</t>
  </si>
  <si>
    <t>반영/확인 내용</t>
  </si>
  <si>
    <t>출처</t>
  </si>
  <si>
    <t>현재 상태</t>
  </si>
  <si>
    <t>추가 필요자료</t>
  </si>
  <si>
    <t>반영</t>
  </si>
  <si>
    <t>물건명·소재지·호실 수·공매차수·최저입찰가격 반영</t>
  </si>
  <si>
    <t>공매공고 1p</t>
  </si>
  <si>
    <t>완료</t>
  </si>
  <si>
    <t>감정평가액 28,248,000,000원 및 호실별 감정평가 요약 반영</t>
  </si>
  <si>
    <t>감정평가명세표 1~12p</t>
  </si>
  <si>
    <t>부가세 조건: 토지:건물 80:20, 건물분 10% 별도 부담</t>
  </si>
  <si>
    <t>공매공고 1p, 3p</t>
  </si>
  <si>
    <t>주의</t>
  </si>
  <si>
    <t>시세조사 시트는 기존 호매실동 예시 자료이므로 제주 시세조사 전까지 사용 금지</t>
  </si>
  <si>
    <t>기존 엑셀</t>
  </si>
  <si>
    <t>미반영</t>
  </si>
  <si>
    <t>제주 노형동 실거래/매물/경공매 사례</t>
  </si>
  <si>
    <t>등기부현황/말소기준권리/제한물권</t>
  </si>
  <si>
    <t>자료 미제공</t>
  </si>
  <si>
    <t>등기부등본, 신탁원부</t>
  </si>
  <si>
    <t>임차현황/대항력/보증금 인수 여부/명도 리스크</t>
  </si>
  <si>
    <t>상가건물임대차현황서, 전입/사업자등록, 현장점유조사</t>
  </si>
  <si>
    <t>관리비·제세공과·전기/수도/가스 체납</t>
  </si>
  <si>
    <t>공매공고상 매수인 부담 조건</t>
  </si>
  <si>
    <t>관리사무소 미납내역, 세금 체납내역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</si>
</sst>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0.0%"/>
    <numFmt numFmtId="177" formatCode="#,##0_);[Red]\(#,##0\)"/>
    <numFmt numFmtId="178" formatCode="_-* #,##0.00_-;\-* #,##0.00_-;_-* &quot;-&quot;_-;_-@_-"/>
    <numFmt numFmtId="179" formatCode="_-* #,##0.0_-;\-* #,##0.0_-;_-* &quot;-&quot;??_-;_-@_-"/>
    <numFmt numFmtId="180" formatCode="#,##0_ "/>
  </numFmts>
  <fonts count="17" x14ac:knownFonts="1">
    <font>
      <sz val="11"/>
      <color theme="1"/>
      <name val="맑은 고딕"/>
    </font>
    <font>
      <b/>
      <sz val="11"/>
      <color theme="1"/>
      <name val="맑은 고딕"/>
      <family val="3"/>
      <charset val="129"/>
    </font>
    <font>
      <sz val="11"/>
      <color theme="1"/>
      <name val="맑은 고딕"/>
      <family val="3"/>
      <charset val="129"/>
    </font>
    <font>
      <b/>
      <sz val="11"/>
      <color rgb="FFFF0000"/>
      <name val="맑은 고딕"/>
      <family val="3"/>
      <charset val="129"/>
    </font>
    <font>
      <sz val="11"/>
      <color rgb="FFFF0000"/>
      <name val="맑은 고딕"/>
      <family val="3"/>
      <charset val="129"/>
    </font>
    <font>
      <sz val="11"/>
      <color theme="1"/>
      <name val="Calibri"/>
      <family val="2"/>
    </font>
    <font>
      <sz val="8"/>
      <name val="돋움"/>
      <family val="3"/>
      <charset val="129"/>
    </font>
    <font>
      <b/>
      <sz val="16"/>
      <color rgb="FFFFFFFF"/>
      <name val="맑은 고딕"/>
      <family val="3"/>
      <charset val="129"/>
    </font>
    <font>
      <b/>
      <sz val="10"/>
      <color rgb="FF111827"/>
      <name val="맑은 고딕"/>
      <family val="3"/>
      <charset val="129"/>
    </font>
    <font>
      <sz val="10"/>
      <color rgb="FF111827"/>
      <name val="맑은 고딕"/>
      <family val="3"/>
      <charset val="129"/>
    </font>
    <font>
      <b/>
      <sz val="11"/>
      <color rgb="FFFFFFFF"/>
      <name val="맑은 고딕"/>
      <family val="3"/>
      <charset val="129"/>
    </font>
    <font>
      <b/>
      <sz val="9"/>
      <color rgb="FF111827"/>
      <name val="맑은 고딕"/>
      <family val="3"/>
      <charset val="129"/>
    </font>
    <font>
      <sz val="8"/>
      <color rgb="FF111827"/>
      <name val="맑은 고딕"/>
      <family val="3"/>
      <charset val="129"/>
    </font>
    <font>
      <b/>
      <sz val="8"/>
      <color rgb="FF111827"/>
      <name val="맑은 고딕"/>
      <family val="3"/>
      <charset val="129"/>
    </font>
    <font>
      <b/>
      <sz val="14"/>
      <color theme="1"/>
      <name val="맑은 고딕"/>
      <family val="3"/>
      <charset val="129"/>
    </font>
    <font>
      <b/>
      <sz val="16"/>
      <color rgb="FF9C6500"/>
      <name val="맑은 고딕"/>
      <family val="3"/>
      <charset val="129"/>
    </font>
    <font>
      <b/>
      <sz val="11"/>
      <color rgb="FF9C6500"/>
      <name val="맑은 고딕"/>
      <family val="3"/>
      <charset val="129"/>
    </font>
  </fonts>
  <fills count="14">
    <fill>
      <patternFill patternType="none"/>
    </fill>
    <fill>
      <patternFill patternType="gray125"/>
    </fill>
    <fill>
      <patternFill patternType="solid">
        <fgColor rgb="FF17365D"/>
      </patternFill>
    </fill>
    <fill>
      <patternFill patternType="solid">
        <fgColor rgb="FFFFFFFF"/>
      </patternFill>
    </fill>
    <fill>
      <patternFill patternType="solid">
        <fgColor rgb="FF1F4E78"/>
      </patternFill>
    </fill>
    <fill>
      <patternFill patternType="solid">
        <fgColor rgb="FFD9EAF7"/>
      </patternFill>
    </fill>
    <fill>
      <patternFill patternType="solid">
        <fgColor rgb="FFEAF2F8"/>
      </patternFill>
    </fill>
    <fill>
      <patternFill patternType="solid">
        <fgColor rgb="FFFFFFFF"/>
      </patternFill>
    </fill>
    <fill>
      <patternFill patternType="solid">
        <fgColor rgb="FF1F4E78"/>
      </patternFill>
    </fill>
    <fill>
      <patternFill patternType="solid">
        <fgColor rgb="FFD9EAF7"/>
      </patternFill>
    </fill>
    <fill>
      <patternFill patternType="solid">
        <fgColor rgb="FFD9EAF7"/>
      </patternFill>
    </fill>
    <fill>
      <patternFill patternType="solid">
        <fgColor rgb="FF1F4E78"/>
      </patternFill>
    </fill>
    <fill>
      <patternFill patternType="solid">
        <fgColor rgb="FFF2F2F2"/>
      </patternFill>
    </fill>
    <fill>
      <patternFill patternType="solid">
        <fgColor rgb="FFFFF2CC"/>
      </patternFill>
    </fill>
  </fills>
  <borders count="86">
    <border>
      <left/>
      <right/>
      <top/>
      <bottom/>
      <diagonal/>
    </border>
    <border>
      <left style="thin">
        <color indexed="64"/>
      </left>
      <right style="thin">
        <color indexed="64"/>
      </right>
      <top style="thin">
        <color indexed="64"/>
      </top>
      <bottom style="thin">
        <color indexed="64"/>
      </bottom>
      <diagonal/>
    </border>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rgb="FF666666"/>
      </right>
      <top style="thin">
        <color rgb="FF666666"/>
      </top>
      <bottom/>
      <diagonal/>
    </border>
    <border>
      <left style="thin">
        <color rgb="FF666666"/>
      </left>
      <right/>
      <top/>
      <bottom/>
      <diagonal/>
    </border>
    <border>
      <left style="thin">
        <color rgb="FF666666"/>
      </left>
      <right style="thin">
        <color indexed="64"/>
      </right>
      <top style="thin">
        <color rgb="FF666666"/>
      </top>
      <bottom style="thin">
        <color indexed="64"/>
      </bottom>
      <diagonal/>
    </border>
    <border>
      <left/>
      <right style="thin">
        <color rgb="FF666666"/>
      </right>
      <top style="thin">
        <color rgb="FF666666"/>
      </top>
      <bottom style="thin">
        <color indexed="64"/>
      </bottom>
      <diagonal/>
    </border>
    <border>
      <left style="thin">
        <color rgb="FF666666"/>
      </left>
      <right style="thin">
        <color indexed="64"/>
      </right>
      <top style="thin">
        <color indexed="64"/>
      </top>
      <bottom style="thin">
        <color rgb="FF666666"/>
      </bottom>
      <diagonal/>
    </border>
    <border>
      <left/>
      <right/>
      <top style="thin">
        <color rgb="FF666666"/>
      </top>
      <bottom style="thin">
        <color indexed="64"/>
      </bottom>
      <diagonal/>
    </border>
    <border>
      <left/>
      <right style="thin">
        <color indexed="64"/>
      </right>
      <top style="thin">
        <color rgb="FF666666"/>
      </top>
      <bottom style="thin">
        <color indexed="64"/>
      </bottom>
      <diagonal/>
    </border>
    <border>
      <left/>
      <right/>
      <top style="thin">
        <color indexed="64"/>
      </top>
      <bottom style="thin">
        <color rgb="FF666666"/>
      </bottom>
      <diagonal/>
    </border>
    <border>
      <left/>
      <right style="thin">
        <color indexed="64"/>
      </right>
      <top style="thin">
        <color indexed="64"/>
      </top>
      <bottom style="thin">
        <color rgb="FF666666"/>
      </bottom>
      <diagonal/>
    </border>
    <border>
      <left/>
      <right style="thin">
        <color rgb="FF666666"/>
      </right>
      <top style="thin">
        <color indexed="64"/>
      </top>
      <bottom style="thin">
        <color rgb="FF666666"/>
      </bottom>
      <diagonal/>
    </border>
    <border>
      <left style="thin">
        <color rgb="FF666666"/>
      </left>
      <right style="thin">
        <color indexed="64"/>
      </right>
      <top style="thin">
        <color indexed="64"/>
      </top>
      <bottom style="thin">
        <color indexed="64"/>
      </bottom>
      <diagonal/>
    </border>
    <border>
      <left style="thin">
        <color indexed="64"/>
      </left>
      <right style="thin">
        <color rgb="FF666666"/>
      </right>
      <top style="thin">
        <color indexed="64"/>
      </top>
      <bottom style="thin">
        <color indexed="64"/>
      </bottom>
      <diagonal/>
    </border>
    <border>
      <left style="thin">
        <color indexed="64"/>
      </left>
      <right style="thin">
        <color indexed="64"/>
      </right>
      <top style="thin">
        <color indexed="64"/>
      </top>
      <bottom style="thin">
        <color rgb="FF666666"/>
      </bottom>
      <diagonal/>
    </border>
    <border>
      <left/>
      <right style="thin">
        <color indexed="64"/>
      </right>
      <top style="thin">
        <color rgb="FF666666"/>
      </top>
      <bottom/>
      <diagonal/>
    </border>
    <border>
      <left style="thin">
        <color rgb="FF666666"/>
      </left>
      <right style="thin">
        <color indexed="64"/>
      </right>
      <top/>
      <bottom style="thin">
        <color indexed="64"/>
      </bottom>
      <diagonal/>
    </border>
    <border>
      <left/>
      <right style="thin">
        <color rgb="FF666666"/>
      </right>
      <top/>
      <bottom style="thin">
        <color indexed="64"/>
      </bottom>
      <diagonal/>
    </border>
    <border>
      <left style="thin">
        <color indexed="64"/>
      </left>
      <right style="thin">
        <color rgb="FF666666"/>
      </right>
      <top style="thin">
        <color indexed="64"/>
      </top>
      <bottom style="thin">
        <color indexed="64"/>
      </bottom>
      <diagonal/>
    </border>
    <border>
      <left/>
      <right style="thin">
        <color rgb="FF666666"/>
      </right>
      <top style="thin">
        <color indexed="64"/>
      </top>
      <bottom style="thin">
        <color indexed="64"/>
      </bottom>
      <diagonal/>
    </border>
    <border>
      <left style="thin">
        <color indexed="64"/>
      </left>
      <right style="thin">
        <color indexed="64"/>
      </right>
      <top style="thin">
        <color indexed="64"/>
      </top>
      <bottom style="thin">
        <color rgb="FF666666"/>
      </bottom>
      <diagonal/>
    </border>
    <border>
      <left style="thin">
        <color indexed="64"/>
      </left>
      <right style="thin">
        <color indexed="64"/>
      </right>
      <top style="thin">
        <color rgb="FF666666"/>
      </top>
      <bottom style="thin">
        <color indexed="64"/>
      </bottom>
      <diagonal/>
    </border>
    <border>
      <left style="thin">
        <color indexed="64"/>
      </left>
      <right style="thin">
        <color rgb="FF666666"/>
      </right>
      <top style="thin">
        <color indexed="64"/>
      </top>
      <bottom style="thin">
        <color rgb="FF666666"/>
      </bottom>
      <diagonal/>
    </border>
    <border>
      <left style="thin">
        <color indexed="64"/>
      </left>
      <right style="thin">
        <color indexed="64"/>
      </right>
      <top style="thin">
        <color rgb="FF666666"/>
      </top>
      <bottom style="thin">
        <color indexed="64"/>
      </bottom>
      <diagonal/>
    </border>
    <border>
      <left style="thin">
        <color indexed="64"/>
      </left>
      <right style="thin">
        <color rgb="FF666666"/>
      </right>
      <top style="thin">
        <color rgb="FF666666"/>
      </top>
      <bottom style="thin">
        <color indexed="64"/>
      </bottom>
      <diagonal/>
    </border>
    <border>
      <left style="thin">
        <color rgb="FF666666"/>
      </left>
      <right/>
      <top/>
      <bottom style="thin">
        <color indexed="64"/>
      </bottom>
      <diagonal/>
    </border>
    <border>
      <left style="thin">
        <color indexed="64"/>
      </left>
      <right style="thin">
        <color indexed="64"/>
      </right>
      <top/>
      <bottom style="thin">
        <color rgb="FF666666"/>
      </bottom>
      <diagonal/>
    </border>
    <border>
      <left style="thin">
        <color indexed="64"/>
      </left>
      <right/>
      <top/>
      <bottom style="thin">
        <color rgb="FF666666"/>
      </bottom>
      <diagonal/>
    </border>
    <border>
      <left/>
      <right style="thin">
        <color indexed="64"/>
      </right>
      <top/>
      <bottom style="thin">
        <color rgb="FF666666"/>
      </bottom>
      <diagonal/>
    </border>
    <border>
      <left style="thin">
        <color indexed="64"/>
      </left>
      <right style="thin">
        <color indexed="64"/>
      </right>
      <top style="thin">
        <color rgb="FF666666"/>
      </top>
      <bottom style="thin">
        <color rgb="FF666666"/>
      </bottom>
      <diagonal/>
    </border>
    <border>
      <left style="thin">
        <color indexed="64"/>
      </left>
      <right/>
      <top style="thin">
        <color rgb="FF666666"/>
      </top>
      <bottom style="thin">
        <color rgb="FF666666"/>
      </bottom>
      <diagonal/>
    </border>
    <border>
      <left/>
      <right/>
      <top style="thin">
        <color rgb="FF000000"/>
      </top>
      <bottom style="thin">
        <color rgb="FF1F4E78"/>
      </bottom>
      <diagonal/>
    </border>
    <border>
      <left style="thin">
        <color indexed="64"/>
      </left>
      <right style="thin">
        <color indexed="64"/>
      </right>
      <top style="thin">
        <color indexed="64"/>
      </top>
      <bottom style="thin">
        <color rgb="FF000000"/>
      </bottom>
      <diagonal/>
    </border>
    <border>
      <left style="thin">
        <color indexed="64"/>
      </left>
      <right style="thin">
        <color rgb="FF666666"/>
      </right>
      <top style="thin">
        <color indexed="64"/>
      </top>
      <bottom style="thin">
        <color rgb="FF000000"/>
      </bottom>
      <diagonal/>
    </border>
    <border>
      <left style="thin">
        <color indexed="64"/>
      </left>
      <right style="thin">
        <color rgb="FF000000"/>
      </right>
      <top style="thin">
        <color rgb="FF666666"/>
      </top>
      <bottom style="thin">
        <color indexed="64"/>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indexed="64"/>
      </left>
      <right style="thin">
        <color indexed="64"/>
      </right>
      <top/>
      <bottom/>
      <diagonal/>
    </border>
    <border>
      <left style="thin">
        <color indexed="64"/>
      </left>
      <right style="thin">
        <color rgb="FF666666"/>
      </right>
      <top/>
      <bottom/>
      <diagonal/>
    </border>
    <border>
      <left style="thin">
        <color indexed="64"/>
      </left>
      <right style="thin">
        <color rgb="FF666666"/>
      </right>
      <top/>
      <bottom style="thin">
        <color indexed="64"/>
      </bottom>
      <diagonal/>
    </border>
    <border>
      <left/>
      <right/>
      <top style="thin">
        <color rgb="FF000000"/>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style="thin">
        <color rgb="FF000000"/>
      </top>
      <bottom style="thin">
        <color rgb="FF1F4E78"/>
      </bottom>
      <diagonal/>
    </border>
    <border>
      <left/>
      <right style="medium">
        <color indexed="64"/>
      </right>
      <top style="thin">
        <color rgb="FF000000"/>
      </top>
      <bottom style="thin">
        <color rgb="FF1F4E78"/>
      </bottom>
      <diagonal/>
    </border>
    <border>
      <left style="medium">
        <color indexed="64"/>
      </left>
      <right style="thin">
        <color indexed="64"/>
      </right>
      <top style="thin">
        <color rgb="FF666666"/>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rgb="FF000000"/>
      </bottom>
      <diagonal/>
    </border>
    <border>
      <left style="thin">
        <color indexed="64"/>
      </left>
      <right style="thin">
        <color indexed="64"/>
      </right>
      <top/>
      <bottom style="medium">
        <color indexed="64"/>
      </bottom>
      <diagonal/>
    </border>
    <border>
      <left style="medium">
        <color indexed="64"/>
      </left>
      <right/>
      <top style="medium">
        <color indexed="64"/>
      </top>
      <bottom style="thin">
        <color rgb="FF1F4E78"/>
      </bottom>
      <diagonal/>
    </border>
    <border>
      <left/>
      <right/>
      <top style="medium">
        <color indexed="64"/>
      </top>
      <bottom style="thin">
        <color rgb="FF1F4E78"/>
      </bottom>
      <diagonal/>
    </border>
    <border>
      <left/>
      <right style="medium">
        <color indexed="64"/>
      </right>
      <top style="medium">
        <color indexed="64"/>
      </top>
      <bottom style="thin">
        <color rgb="FF1F4E78"/>
      </bottom>
      <diagonal/>
    </border>
    <border>
      <left style="medium">
        <color indexed="64"/>
      </left>
      <right style="thin">
        <color indexed="64"/>
      </right>
      <top style="thin">
        <color rgb="FF666666"/>
      </top>
      <bottom style="thin">
        <color rgb="FF666666"/>
      </bottom>
      <diagonal/>
    </border>
    <border>
      <left style="thin">
        <color indexed="64"/>
      </left>
      <right style="medium">
        <color indexed="64"/>
      </right>
      <top style="thin">
        <color rgb="FF666666"/>
      </top>
      <bottom style="thin">
        <color rgb="FF666666"/>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rgb="FF000000"/>
      </bottom>
      <diagonal/>
    </border>
    <border>
      <left/>
      <right style="thin">
        <color rgb="FF666666"/>
      </right>
      <top style="thin">
        <color indexed="64"/>
      </top>
      <bottom/>
      <diagonal/>
    </border>
    <border>
      <left/>
      <right/>
      <top style="thin">
        <color indexed="64"/>
      </top>
      <bottom style="thin">
        <color indexed="64"/>
      </bottom>
      <diagonal/>
    </border>
    <border>
      <left style="medium">
        <color indexed="64"/>
      </left>
      <right/>
      <top/>
      <bottom style="thin">
        <color rgb="FF000000"/>
      </bottom>
      <diagonal/>
    </border>
    <border>
      <left/>
      <right/>
      <top/>
      <bottom style="thin">
        <color rgb="FF000000"/>
      </bottom>
      <diagonal/>
    </border>
    <border>
      <left/>
      <right style="thin">
        <color indexed="64"/>
      </right>
      <top/>
      <bottom style="thin">
        <color rgb="FF000000"/>
      </bottom>
      <diagonal/>
    </border>
    <border>
      <left style="thin">
        <color indexed="64"/>
      </left>
      <right style="thin">
        <color indexed="64"/>
      </right>
      <top/>
      <bottom style="thin">
        <color rgb="FF000000"/>
      </bottom>
      <diagonal/>
    </border>
    <border>
      <left style="thin">
        <color indexed="64"/>
      </left>
      <right style="medium">
        <color indexed="64"/>
      </right>
      <top/>
      <bottom style="thin">
        <color rgb="FF000000"/>
      </bottom>
      <diagonal/>
    </border>
    <border>
      <left/>
      <right style="thin">
        <color rgb="FF000000"/>
      </right>
      <top style="thin">
        <color indexed="64"/>
      </top>
      <bottom/>
      <diagonal/>
    </border>
    <border>
      <left style="thin">
        <color indexed="64"/>
      </left>
      <right/>
      <top/>
      <bottom style="thin">
        <color rgb="FF000000"/>
      </bottom>
      <diagonal/>
    </border>
    <border>
      <left/>
      <right style="thin">
        <color rgb="FF000000"/>
      </right>
      <top/>
      <bottom style="thin">
        <color rgb="FF000000"/>
      </bottom>
      <diagonal/>
    </border>
    <border>
      <left/>
      <right style="thin">
        <color rgb="FF000000"/>
      </right>
      <top/>
      <bottom style="thin">
        <color indexed="64"/>
      </bottom>
      <diagonal/>
    </border>
    <border>
      <left/>
      <right style="thin">
        <color rgb="FF000000"/>
      </right>
      <top style="thin">
        <color rgb="FF666666"/>
      </top>
      <bottom/>
      <diagonal/>
    </border>
    <border>
      <left style="thin">
        <color indexed="64"/>
      </left>
      <right style="thin">
        <color indexed="64"/>
      </right>
      <top style="thin">
        <color indexed="64"/>
      </top>
      <bottom style="medium">
        <color indexed="64"/>
      </bottom>
      <diagonal/>
    </border>
    <border>
      <left/>
      <right style="thin">
        <color rgb="FF666666"/>
      </right>
      <top/>
      <bottom style="thin">
        <color rgb="FF000000"/>
      </bottom>
      <diagonal/>
    </border>
    <border>
      <left style="medium">
        <color indexed="64"/>
      </left>
      <right style="medium">
        <color indexed="64"/>
      </right>
      <top style="medium">
        <color indexed="64"/>
      </top>
      <bottom style="thin">
        <color rgb="FF000000"/>
      </bottom>
      <diagonal/>
    </border>
  </borders>
  <cellStyleXfs count="4">
    <xf numFmtId="0" fontId="0" fillId="0" borderId="2">
      <alignment vertical="center"/>
    </xf>
    <xf numFmtId="41" fontId="2" fillId="0" borderId="2">
      <alignment vertical="center"/>
    </xf>
    <xf numFmtId="9" fontId="2" fillId="0" borderId="2">
      <alignment vertical="center"/>
    </xf>
    <xf numFmtId="0" fontId="5" fillId="0" borderId="2"/>
  </cellStyleXfs>
  <cellXfs count="204">
    <xf numFmtId="0" fontId="0" fillId="0" borderId="0" xfId="0" applyBorder="1" applyAlignment="1">
      <alignment vertical="center"/>
    </xf>
    <xf numFmtId="9" fontId="3" fillId="0" borderId="0" xfId="0" applyNumberFormat="1" applyFont="1" applyBorder="1" applyAlignment="1">
      <alignment horizontal="center"/>
    </xf>
    <xf numFmtId="14" fontId="4" fillId="0" borderId="0" xfId="0" applyNumberFormat="1" applyFont="1" applyBorder="1" applyAlignment="1">
      <alignment horizontal="center"/>
    </xf>
    <xf numFmtId="14" fontId="4" fillId="0" borderId="0" xfId="1" applyNumberFormat="1" applyFont="1" applyBorder="1" applyAlignment="1">
      <alignment horizontal="center"/>
    </xf>
    <xf numFmtId="10" fontId="4" fillId="0" borderId="0" xfId="2" applyNumberFormat="1" applyFont="1" applyBorder="1" applyAlignment="1"/>
    <xf numFmtId="0" fontId="8" fillId="3" borderId="0" xfId="0" applyFont="1" applyFill="1" applyBorder="1" applyAlignment="1">
      <alignment horizontal="center" vertical="center" wrapText="1"/>
    </xf>
    <xf numFmtId="0" fontId="4" fillId="0" borderId="0" xfId="0" applyFont="1" applyBorder="1" applyAlignment="1">
      <alignment vertical="center"/>
    </xf>
    <xf numFmtId="0" fontId="3" fillId="0" borderId="0" xfId="0" applyFont="1" applyBorder="1" applyAlignment="1"/>
    <xf numFmtId="0" fontId="4" fillId="0" borderId="0" xfId="0" applyFont="1" applyBorder="1" applyAlignment="1"/>
    <xf numFmtId="0" fontId="3" fillId="0" borderId="0" xfId="0" applyFont="1" applyBorder="1" applyAlignment="1">
      <alignment horizontal="center"/>
    </xf>
    <xf numFmtId="14" fontId="4" fillId="0" borderId="0" xfId="0" applyNumberFormat="1" applyFont="1" applyBorder="1" applyAlignment="1"/>
    <xf numFmtId="9" fontId="4" fillId="0" borderId="0" xfId="0" applyNumberFormat="1" applyFont="1" applyBorder="1" applyAlignment="1"/>
    <xf numFmtId="0" fontId="4" fillId="0" borderId="0" xfId="0" applyFont="1" applyBorder="1" applyAlignment="1">
      <alignment horizontal="center"/>
    </xf>
    <xf numFmtId="0" fontId="1" fillId="0" borderId="0" xfId="0" applyFont="1" applyBorder="1" applyAlignment="1">
      <alignment horizontal="center"/>
    </xf>
    <xf numFmtId="9" fontId="0" fillId="0" borderId="0" xfId="0" applyNumberFormat="1" applyBorder="1" applyAlignment="1"/>
    <xf numFmtId="0" fontId="0" fillId="0" borderId="0" xfId="0" applyBorder="1" applyAlignment="1">
      <alignment horizontal="center"/>
    </xf>
    <xf numFmtId="0" fontId="0" fillId="7" borderId="0" xfId="0" applyFill="1" applyBorder="1" applyAlignment="1">
      <alignment vertical="center"/>
    </xf>
    <xf numFmtId="0" fontId="11" fillId="9" borderId="42" xfId="0" applyFont="1" applyFill="1" applyBorder="1" applyAlignment="1">
      <alignment horizontal="center" vertical="center" wrapText="1"/>
    </xf>
    <xf numFmtId="0" fontId="10" fillId="8" borderId="43" xfId="0" applyFont="1" applyFill="1" applyBorder="1" applyAlignment="1">
      <alignment horizontal="left" vertical="center"/>
    </xf>
    <xf numFmtId="14" fontId="10" fillId="8" borderId="43" xfId="0" applyNumberFormat="1" applyFont="1" applyFill="1" applyBorder="1" applyAlignment="1">
      <alignment horizontal="left" vertical="center"/>
    </xf>
    <xf numFmtId="4" fontId="9" fillId="3" borderId="1" xfId="0" applyNumberFormat="1" applyFont="1" applyFill="1" applyBorder="1" applyAlignment="1">
      <alignment horizontal="center" vertical="center" wrapText="1"/>
    </xf>
    <xf numFmtId="4" fontId="8" fillId="6" borderId="26" xfId="0" applyNumberFormat="1" applyFont="1" applyFill="1" applyBorder="1" applyAlignment="1">
      <alignment horizontal="center" vertical="center" wrapText="1"/>
    </xf>
    <xf numFmtId="0" fontId="10" fillId="0" borderId="52" xfId="0" applyFont="1" applyBorder="1" applyAlignment="1">
      <alignment vertical="center"/>
    </xf>
    <xf numFmtId="0" fontId="10" fillId="0" borderId="2" xfId="0" applyFont="1" applyAlignment="1">
      <alignment vertical="center"/>
    </xf>
    <xf numFmtId="0" fontId="10" fillId="0" borderId="2" xfId="0" applyFont="1" applyAlignment="1">
      <alignment horizontal="left" vertical="center"/>
    </xf>
    <xf numFmtId="0" fontId="8" fillId="3" borderId="2" xfId="0" applyFont="1" applyFill="1" applyAlignment="1">
      <alignment horizontal="center" vertical="center" wrapText="1"/>
    </xf>
    <xf numFmtId="0" fontId="0" fillId="7" borderId="2" xfId="0" applyFill="1" applyAlignment="1">
      <alignment vertical="center"/>
    </xf>
    <xf numFmtId="0" fontId="10" fillId="8" borderId="55" xfId="0" applyFont="1" applyFill="1" applyBorder="1" applyAlignment="1">
      <alignment horizontal="left" vertical="center"/>
    </xf>
    <xf numFmtId="14" fontId="10" fillId="8" borderId="56" xfId="0" applyNumberFormat="1" applyFont="1" applyFill="1" applyBorder="1" applyAlignment="1">
      <alignment horizontal="left" vertical="center"/>
    </xf>
    <xf numFmtId="0" fontId="10" fillId="8" borderId="63" xfId="0" applyFont="1" applyFill="1" applyBorder="1" applyAlignment="1">
      <alignment horizontal="left" vertical="center"/>
    </xf>
    <xf numFmtId="0" fontId="10" fillId="8" borderId="64" xfId="0" applyFont="1" applyFill="1" applyBorder="1" applyAlignment="1">
      <alignment horizontal="left" vertical="center"/>
    </xf>
    <xf numFmtId="14" fontId="10" fillId="8" borderId="64" xfId="0" applyNumberFormat="1" applyFont="1" applyFill="1" applyBorder="1" applyAlignment="1">
      <alignment horizontal="left" vertical="center"/>
    </xf>
    <xf numFmtId="14" fontId="10" fillId="8" borderId="65" xfId="0" applyNumberFormat="1" applyFont="1" applyFill="1" applyBorder="1" applyAlignment="1">
      <alignment horizontal="left" vertical="center"/>
    </xf>
    <xf numFmtId="0" fontId="11" fillId="9" borderId="66" xfId="0" applyFont="1" applyFill="1" applyBorder="1" applyAlignment="1">
      <alignment horizontal="center" vertical="center" wrapText="1"/>
    </xf>
    <xf numFmtId="0" fontId="11" fillId="9" borderId="67" xfId="0" applyFont="1" applyFill="1" applyBorder="1" applyAlignment="1">
      <alignment horizontal="center" vertical="center" wrapText="1"/>
    </xf>
    <xf numFmtId="0" fontId="8" fillId="6" borderId="18" xfId="0" applyFont="1" applyFill="1" applyBorder="1" applyAlignment="1">
      <alignment horizontal="center" vertical="center" wrapText="1"/>
    </xf>
    <xf numFmtId="0" fontId="8" fillId="5" borderId="17" xfId="0" applyFont="1" applyFill="1" applyBorder="1" applyAlignment="1">
      <alignment horizontal="center" vertical="center" wrapText="1"/>
    </xf>
    <xf numFmtId="0" fontId="8" fillId="5" borderId="24" xfId="0" applyFont="1" applyFill="1" applyBorder="1" applyAlignment="1">
      <alignment horizontal="center" vertical="center" wrapText="1"/>
    </xf>
    <xf numFmtId="0" fontId="8" fillId="5" borderId="25" xfId="0" applyFont="1" applyFill="1" applyBorder="1" applyAlignment="1">
      <alignment horizontal="center" vertical="center" wrapText="1"/>
    </xf>
    <xf numFmtId="0" fontId="10" fillId="11" borderId="0" xfId="0" applyFont="1" applyFill="1" applyBorder="1" applyAlignment="1">
      <alignment horizontal="center" vertical="center"/>
    </xf>
    <xf numFmtId="0" fontId="10" fillId="11" borderId="0" xfId="0" applyFont="1" applyFill="1" applyBorder="1" applyAlignment="1">
      <alignment horizontal="center" vertical="center" wrapText="1"/>
    </xf>
    <xf numFmtId="0" fontId="0" fillId="0" borderId="0" xfId="0" applyBorder="1" applyAlignment="1">
      <alignment vertical="center" wrapText="1"/>
    </xf>
    <xf numFmtId="3" fontId="0" fillId="0" borderId="0" xfId="0" applyNumberFormat="1" applyBorder="1" applyAlignment="1">
      <alignment vertical="center" wrapText="1"/>
    </xf>
    <xf numFmtId="3" fontId="0" fillId="0" borderId="0" xfId="0" applyNumberFormat="1" applyBorder="1" applyAlignment="1">
      <alignment vertical="center"/>
    </xf>
    <xf numFmtId="2" fontId="0" fillId="0" borderId="0" xfId="0" applyNumberFormat="1" applyBorder="1" applyAlignment="1">
      <alignment vertical="center" wrapText="1"/>
    </xf>
    <xf numFmtId="0" fontId="1" fillId="12" borderId="0" xfId="0" applyFont="1" applyFill="1" applyBorder="1" applyAlignment="1">
      <alignment vertical="center" wrapText="1"/>
    </xf>
    <xf numFmtId="2" fontId="1" fillId="12" borderId="0" xfId="0" applyNumberFormat="1" applyFont="1" applyFill="1" applyBorder="1" applyAlignment="1">
      <alignment vertical="center" wrapText="1"/>
    </xf>
    <xf numFmtId="3" fontId="1" fillId="12" borderId="0" xfId="0" applyNumberFormat="1" applyFont="1" applyFill="1" applyBorder="1" applyAlignment="1">
      <alignment vertical="center" wrapText="1"/>
    </xf>
    <xf numFmtId="0" fontId="16" fillId="13" borderId="0" xfId="0" applyFont="1" applyFill="1" applyBorder="1" applyAlignment="1">
      <alignment horizontal="center"/>
    </xf>
    <xf numFmtId="0" fontId="16" fillId="13" borderId="0" xfId="0" applyFont="1" applyFill="1" applyBorder="1" applyAlignment="1">
      <alignment horizontal="center" vertical="center"/>
    </xf>
    <xf numFmtId="0" fontId="10" fillId="4" borderId="0" xfId="0" applyFont="1" applyFill="1" applyBorder="1" applyAlignment="1">
      <alignment horizontal="left" vertical="center" wrapText="1"/>
    </xf>
    <xf numFmtId="0" fontId="9" fillId="3" borderId="0"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8" fillId="5" borderId="33"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9" fillId="3" borderId="26" xfId="0" applyFont="1" applyFill="1" applyBorder="1" applyAlignment="1">
      <alignment horizontal="center" vertical="center" wrapText="1"/>
    </xf>
    <xf numFmtId="0" fontId="11" fillId="10" borderId="57" xfId="0" applyFont="1" applyFill="1" applyBorder="1" applyAlignment="1">
      <alignment horizontal="center" vertical="center" wrapText="1"/>
    </xf>
    <xf numFmtId="2" fontId="12" fillId="7" borderId="3" xfId="0" applyNumberFormat="1" applyFont="1" applyFill="1" applyBorder="1" applyAlignment="1">
      <alignment horizontal="center" vertical="center" wrapText="1"/>
    </xf>
    <xf numFmtId="3" fontId="12" fillId="7" borderId="3" xfId="0" applyNumberFormat="1" applyFont="1" applyFill="1" applyBorder="1" applyAlignment="1">
      <alignment horizontal="center" vertical="center" wrapText="1"/>
    </xf>
    <xf numFmtId="3" fontId="13" fillId="6" borderId="59" xfId="0" applyNumberFormat="1" applyFont="1" applyFill="1" applyBorder="1" applyAlignment="1">
      <alignment horizontal="center" vertical="center" wrapText="1"/>
    </xf>
    <xf numFmtId="9" fontId="12" fillId="7" borderId="3" xfId="0" applyNumberFormat="1" applyFont="1" applyFill="1" applyBorder="1" applyAlignment="1">
      <alignment horizontal="center" vertical="center" wrapText="1"/>
    </xf>
    <xf numFmtId="9" fontId="13" fillId="6" borderId="59" xfId="0" applyNumberFormat="1" applyFont="1" applyFill="1" applyBorder="1" applyAlignment="1">
      <alignment horizontal="center" vertical="center" wrapText="1"/>
    </xf>
    <xf numFmtId="0" fontId="12" fillId="7" borderId="3" xfId="0" applyFont="1" applyFill="1" applyBorder="1" applyAlignment="1">
      <alignment horizontal="center" vertical="center" wrapText="1"/>
    </xf>
    <xf numFmtId="0" fontId="12" fillId="7" borderId="3" xfId="0" applyFont="1" applyFill="1" applyBorder="1" applyAlignment="1">
      <alignment horizontal="left" vertical="top" wrapText="1"/>
    </xf>
    <xf numFmtId="0" fontId="8" fillId="5" borderId="16" xfId="0" applyFont="1" applyFill="1" applyBorder="1" applyAlignment="1">
      <alignment horizontal="center" vertical="center" wrapText="1"/>
    </xf>
    <xf numFmtId="0" fontId="0" fillId="0" borderId="2" xfId="0" applyAlignment="1">
      <alignment vertical="center"/>
    </xf>
    <xf numFmtId="0" fontId="0" fillId="0" borderId="0" xfId="0" applyBorder="1" applyAlignment="1"/>
    <xf numFmtId="0" fontId="0" fillId="0" borderId="0" xfId="0" applyBorder="1" applyAlignment="1">
      <alignment vertical="center"/>
    </xf>
    <xf numFmtId="0" fontId="9" fillId="3" borderId="24" xfId="0" applyFont="1" applyFill="1" applyBorder="1" applyAlignment="1">
      <alignment horizontal="center" vertical="center" wrapText="1"/>
    </xf>
    <xf numFmtId="0" fontId="9" fillId="3" borderId="18" xfId="0" applyFont="1" applyFill="1" applyBorder="1" applyAlignment="1">
      <alignment horizontal="center" vertical="center" wrapText="1"/>
    </xf>
    <xf numFmtId="0" fontId="9" fillId="3" borderId="2" xfId="0" applyFont="1" applyFill="1" applyAlignment="1">
      <alignment horizontal="center" vertical="center" wrapText="1"/>
    </xf>
    <xf numFmtId="0" fontId="12" fillId="7" borderId="3" xfId="0" applyFont="1" applyFill="1" applyBorder="1" applyAlignment="1">
      <alignment horizontal="left" vertical="center" wrapText="1"/>
    </xf>
    <xf numFmtId="3" fontId="12" fillId="3" borderId="3" xfId="0" applyNumberFormat="1"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3" borderId="59" xfId="0" applyFont="1" applyFill="1" applyBorder="1" applyAlignment="1">
      <alignment horizontal="center" vertical="center" wrapText="1"/>
    </xf>
    <xf numFmtId="0" fontId="11" fillId="9" borderId="41" xfId="0" applyFont="1" applyFill="1" applyBorder="1" applyAlignment="1">
      <alignment horizontal="center" vertical="center" wrapText="1"/>
    </xf>
    <xf numFmtId="0" fontId="13" fillId="6" borderId="59" xfId="0" applyFont="1" applyFill="1" applyBorder="1" applyAlignment="1">
      <alignment horizontal="center" vertical="center" wrapText="1"/>
    </xf>
    <xf numFmtId="176" fontId="9" fillId="3" borderId="1" xfId="0" applyNumberFormat="1" applyFont="1" applyFill="1" applyBorder="1" applyAlignment="1">
      <alignment horizontal="center" vertical="center" wrapText="1"/>
    </xf>
    <xf numFmtId="176" fontId="8" fillId="6" borderId="26" xfId="0" applyNumberFormat="1" applyFont="1" applyFill="1" applyBorder="1" applyAlignment="1">
      <alignment horizontal="center" vertical="center" wrapText="1"/>
    </xf>
    <xf numFmtId="41" fontId="4" fillId="0" borderId="0" xfId="1" applyFont="1" applyBorder="1" applyAlignment="1"/>
    <xf numFmtId="177" fontId="4" fillId="0" borderId="0" xfId="0" applyNumberFormat="1" applyFont="1" applyBorder="1" applyAlignment="1"/>
    <xf numFmtId="177" fontId="4" fillId="0" borderId="0" xfId="1" applyNumberFormat="1" applyFont="1" applyBorder="1" applyAlignment="1"/>
    <xf numFmtId="178" fontId="8" fillId="3" borderId="0" xfId="0" applyNumberFormat="1" applyFont="1" applyFill="1" applyBorder="1" applyAlignment="1">
      <alignment horizontal="center" vertical="center" wrapText="1"/>
    </xf>
    <xf numFmtId="179" fontId="8" fillId="3" borderId="0" xfId="0" applyNumberFormat="1" applyFont="1" applyFill="1" applyBorder="1" applyAlignment="1">
      <alignment horizontal="center" vertical="center" wrapText="1"/>
    </xf>
    <xf numFmtId="180" fontId="8" fillId="3" borderId="0" xfId="0" applyNumberFormat="1" applyFont="1" applyFill="1" applyBorder="1" applyAlignment="1">
      <alignment horizontal="center" vertical="center" wrapText="1"/>
    </xf>
    <xf numFmtId="178" fontId="8" fillId="3" borderId="2" xfId="0" applyNumberFormat="1" applyFont="1" applyFill="1" applyAlignment="1">
      <alignment horizontal="center" vertical="center" wrapText="1"/>
    </xf>
    <xf numFmtId="179" fontId="8" fillId="3" borderId="2" xfId="0" applyNumberFormat="1" applyFont="1" applyFill="1" applyAlignment="1">
      <alignment horizontal="center" vertical="center" wrapText="1"/>
    </xf>
    <xf numFmtId="180" fontId="8" fillId="3" borderId="2" xfId="0" applyNumberFormat="1" applyFont="1" applyFill="1" applyAlignment="1">
      <alignment horizontal="center" vertical="center" wrapText="1"/>
    </xf>
    <xf numFmtId="176" fontId="0" fillId="0" borderId="0" xfId="0" applyNumberFormat="1" applyBorder="1" applyAlignment="1">
      <alignment vertical="center" wrapText="1"/>
    </xf>
    <xf numFmtId="176" fontId="0" fillId="0" borderId="0" xfId="0" applyNumberFormat="1" applyBorder="1" applyAlignment="1">
      <alignment vertical="center"/>
    </xf>
    <xf numFmtId="0" fontId="9" fillId="3" borderId="3" xfId="0" applyFont="1" applyFill="1" applyBorder="1" applyAlignment="1">
      <alignment horizontal="center" vertical="center" wrapText="1"/>
    </xf>
    <xf numFmtId="0" fontId="0" fillId="0" borderId="5" xfId="0" applyBorder="1" applyAlignment="1"/>
    <xf numFmtId="0" fontId="10" fillId="4" borderId="3" xfId="0" applyFont="1" applyFill="1" applyBorder="1" applyAlignment="1">
      <alignment horizontal="left" vertical="center" wrapText="1"/>
    </xf>
    <xf numFmtId="0" fontId="8" fillId="5" borderId="35" xfId="0" applyFont="1" applyFill="1" applyBorder="1" applyAlignment="1">
      <alignment horizontal="center" vertical="center" wrapText="1"/>
    </xf>
    <xf numFmtId="0" fontId="0" fillId="0" borderId="20" xfId="0" applyBorder="1" applyAlignment="1"/>
    <xf numFmtId="0" fontId="8" fillId="5" borderId="16" xfId="0" applyFont="1" applyFill="1" applyBorder="1" applyAlignment="1">
      <alignment horizontal="center" vertical="center" wrapText="1"/>
    </xf>
    <xf numFmtId="0" fontId="0" fillId="0" borderId="28" xfId="0" applyBorder="1" applyAlignment="1"/>
    <xf numFmtId="0" fontId="0" fillId="0" borderId="72" xfId="0" applyBorder="1" applyAlignment="1"/>
    <xf numFmtId="0" fontId="8" fillId="5" borderId="36" xfId="0" applyFont="1" applyFill="1" applyBorder="1" applyAlignment="1">
      <alignment horizontal="center" vertical="center" wrapText="1"/>
    </xf>
    <xf numFmtId="0" fontId="0" fillId="0" borderId="17" xfId="0" applyBorder="1" applyAlignment="1"/>
    <xf numFmtId="3" fontId="8" fillId="6" borderId="32" xfId="0" applyNumberFormat="1" applyFont="1" applyFill="1" applyBorder="1" applyAlignment="1">
      <alignment horizontal="center" vertical="center" wrapText="1"/>
    </xf>
    <xf numFmtId="0" fontId="0" fillId="0" borderId="22" xfId="0" applyBorder="1" applyAlignment="1"/>
    <xf numFmtId="0" fontId="0" fillId="0" borderId="2" xfId="0" applyAlignment="1">
      <alignment vertical="center"/>
    </xf>
    <xf numFmtId="0" fontId="0" fillId="0" borderId="0" xfId="0" applyBorder="1" applyAlignment="1"/>
    <xf numFmtId="0" fontId="0" fillId="0" borderId="19" xfId="0" applyBorder="1" applyAlignment="1"/>
    <xf numFmtId="0" fontId="9" fillId="3" borderId="30" xfId="0" applyFont="1" applyFill="1" applyBorder="1" applyAlignment="1">
      <alignment horizontal="center" vertical="center" wrapText="1"/>
    </xf>
    <xf numFmtId="0" fontId="0" fillId="0" borderId="31" xfId="0" applyBorder="1" applyAlignment="1"/>
    <xf numFmtId="177" fontId="9" fillId="3" borderId="3" xfId="0" applyNumberFormat="1" applyFont="1" applyFill="1" applyBorder="1" applyAlignment="1">
      <alignment horizontal="center" vertical="center" wrapText="1"/>
    </xf>
    <xf numFmtId="0" fontId="0" fillId="0" borderId="0" xfId="0" applyBorder="1" applyAlignment="1">
      <alignment vertical="center"/>
    </xf>
    <xf numFmtId="0" fontId="9" fillId="3" borderId="24" xfId="0" applyFont="1" applyFill="1" applyBorder="1" applyAlignment="1">
      <alignment horizontal="center" vertical="center" wrapText="1"/>
    </xf>
    <xf numFmtId="0" fontId="9" fillId="3" borderId="32" xfId="0" applyFont="1" applyFill="1" applyBorder="1" applyAlignment="1">
      <alignment horizontal="center" vertical="center" wrapText="1"/>
    </xf>
    <xf numFmtId="0" fontId="0" fillId="0" borderId="13" xfId="0" applyBorder="1" applyAlignment="1"/>
    <xf numFmtId="3" fontId="8" fillId="6" borderId="34" xfId="0" applyNumberFormat="1" applyFont="1" applyFill="1" applyBorder="1" applyAlignment="1">
      <alignment horizontal="center" vertical="center" wrapText="1"/>
    </xf>
    <xf numFmtId="0" fontId="0" fillId="0" borderId="23" xfId="0" applyBorder="1" applyAlignment="1"/>
    <xf numFmtId="3" fontId="9" fillId="3" borderId="3" xfId="0" applyNumberFormat="1" applyFont="1" applyFill="1" applyBorder="1" applyAlignment="1">
      <alignment horizontal="center" vertical="center" wrapText="1"/>
    </xf>
    <xf numFmtId="0" fontId="0" fillId="0" borderId="7" xfId="0" applyBorder="1" applyAlignment="1"/>
    <xf numFmtId="0" fontId="0" fillId="0" borderId="15" xfId="0" applyBorder="1" applyAlignment="1"/>
    <xf numFmtId="0" fontId="0" fillId="0" borderId="9" xfId="0" applyBorder="1" applyAlignment="1"/>
    <xf numFmtId="0" fontId="0" fillId="0" borderId="37" xfId="0" applyBorder="1" applyAlignment="1"/>
    <xf numFmtId="0" fontId="0" fillId="0" borderId="11" xfId="0" applyBorder="1" applyAlignment="1"/>
    <xf numFmtId="0" fontId="0" fillId="0" borderId="50" xfId="0" applyBorder="1" applyAlignment="1"/>
    <xf numFmtId="0" fontId="0" fillId="0" borderId="51" xfId="0" applyBorder="1" applyAlignment="1"/>
    <xf numFmtId="0" fontId="9" fillId="3" borderId="3" xfId="0" applyFont="1" applyFill="1" applyBorder="1" applyAlignment="1">
      <alignment horizontal="left" vertical="center" wrapText="1"/>
    </xf>
    <xf numFmtId="0" fontId="0" fillId="0" borderId="8" xfId="0" applyBorder="1" applyAlignment="1"/>
    <xf numFmtId="0" fontId="0" fillId="0" borderId="10" xfId="0" applyBorder="1" applyAlignment="1"/>
    <xf numFmtId="0" fontId="0" fillId="0" borderId="2" xfId="0" applyAlignment="1">
      <alignment horizontal="center"/>
    </xf>
    <xf numFmtId="0" fontId="9" fillId="3" borderId="34" xfId="0" applyFont="1" applyFill="1" applyBorder="1" applyAlignment="1">
      <alignment horizontal="center" vertical="center" wrapText="1"/>
    </xf>
    <xf numFmtId="0" fontId="0" fillId="0" borderId="21" xfId="0" applyBorder="1" applyAlignment="1"/>
    <xf numFmtId="0" fontId="0" fillId="0" borderId="49" xfId="0" applyBorder="1" applyAlignment="1"/>
    <xf numFmtId="0" fontId="0" fillId="0" borderId="27" xfId="0" applyBorder="1" applyAlignment="1"/>
    <xf numFmtId="0" fontId="0" fillId="0" borderId="14" xfId="0" applyBorder="1" applyAlignment="1"/>
    <xf numFmtId="0" fontId="0" fillId="0" borderId="29" xfId="0" applyBorder="1" applyAlignment="1"/>
    <xf numFmtId="0" fontId="9" fillId="3" borderId="18" xfId="0" applyFont="1" applyFill="1" applyBorder="1" applyAlignment="1">
      <alignment horizontal="center" vertical="center" wrapText="1"/>
    </xf>
    <xf numFmtId="0" fontId="1" fillId="0" borderId="2" xfId="0" applyFont="1" applyAlignment="1">
      <alignment horizontal="center"/>
    </xf>
    <xf numFmtId="0" fontId="8" fillId="5" borderId="3" xfId="0" applyFont="1" applyFill="1" applyBorder="1" applyAlignment="1">
      <alignment horizontal="center" vertical="center" wrapText="1"/>
    </xf>
    <xf numFmtId="177" fontId="9" fillId="3" borderId="32" xfId="0" applyNumberFormat="1" applyFont="1" applyFill="1" applyBorder="1" applyAlignment="1">
      <alignment horizontal="center" vertical="center" wrapText="1"/>
    </xf>
    <xf numFmtId="0" fontId="7" fillId="2" borderId="2" xfId="0" applyFont="1" applyFill="1" applyAlignment="1">
      <alignment horizontal="left" vertical="center" wrapText="1"/>
    </xf>
    <xf numFmtId="3" fontId="9" fillId="3" borderId="30" xfId="0" applyNumberFormat="1" applyFont="1" applyFill="1" applyBorder="1" applyAlignment="1">
      <alignment horizontal="center" vertical="center" wrapText="1"/>
    </xf>
    <xf numFmtId="0" fontId="9" fillId="3" borderId="2" xfId="0" applyFont="1" applyFill="1" applyAlignment="1">
      <alignment horizontal="center" vertical="center" wrapText="1"/>
    </xf>
    <xf numFmtId="0" fontId="12" fillId="7" borderId="3" xfId="0" applyFont="1" applyFill="1" applyBorder="1" applyAlignment="1">
      <alignment horizontal="left" vertical="top" wrapText="1"/>
    </xf>
    <xf numFmtId="0" fontId="10" fillId="11" borderId="85" xfId="0" applyFont="1" applyFill="1" applyBorder="1" applyAlignment="1">
      <alignment horizontal="center" vertical="center"/>
    </xf>
    <xf numFmtId="0" fontId="10" fillId="11" borderId="55" xfId="0" applyFont="1" applyFill="1" applyBorder="1" applyAlignment="1">
      <alignment horizontal="left" vertical="center"/>
    </xf>
    <xf numFmtId="0" fontId="13" fillId="6" borderId="59" xfId="0" applyFont="1" applyFill="1" applyBorder="1" applyAlignment="1">
      <alignment horizontal="left" vertical="center" wrapText="1"/>
    </xf>
    <xf numFmtId="0" fontId="15" fillId="13" borderId="12" xfId="0" applyFont="1" applyFill="1" applyBorder="1" applyAlignment="1">
      <alignment horizontal="center" vertical="center"/>
    </xf>
    <xf numFmtId="3" fontId="13" fillId="6" borderId="83" xfId="0" applyNumberFormat="1" applyFont="1" applyFill="1" applyBorder="1" applyAlignment="1">
      <alignment horizontal="center" vertical="center" wrapText="1"/>
    </xf>
    <xf numFmtId="0" fontId="0" fillId="0" borderId="62" xfId="0" applyBorder="1" applyAlignment="1"/>
    <xf numFmtId="3" fontId="12" fillId="3" borderId="3" xfId="0" applyNumberFormat="1" applyFont="1" applyFill="1" applyBorder="1" applyAlignment="1">
      <alignment horizontal="center" vertical="center" wrapText="1"/>
    </xf>
    <xf numFmtId="0" fontId="12" fillId="3" borderId="3" xfId="0" applyFont="1" applyFill="1" applyBorder="1" applyAlignment="1">
      <alignment horizontal="center" vertical="center" wrapText="1"/>
    </xf>
    <xf numFmtId="14" fontId="12" fillId="3" borderId="3" xfId="0" applyNumberFormat="1" applyFont="1" applyFill="1" applyBorder="1" applyAlignment="1">
      <alignment horizontal="center" vertical="center" wrapText="1"/>
    </xf>
    <xf numFmtId="0" fontId="11" fillId="9" borderId="46" xfId="0" applyFont="1" applyFill="1" applyBorder="1" applyAlignment="1">
      <alignment horizontal="center" vertical="center" wrapText="1"/>
    </xf>
    <xf numFmtId="0" fontId="0" fillId="0" borderId="82" xfId="0" applyBorder="1" applyAlignment="1"/>
    <xf numFmtId="0" fontId="0" fillId="0" borderId="81" xfId="0" applyBorder="1" applyAlignment="1"/>
    <xf numFmtId="0" fontId="12" fillId="3" borderId="59" xfId="0" applyFont="1" applyFill="1" applyBorder="1" applyAlignment="1">
      <alignment horizontal="center" vertical="center" wrapText="1"/>
    </xf>
    <xf numFmtId="0" fontId="0" fillId="0" borderId="58" xfId="0" applyBorder="1" applyAlignment="1"/>
    <xf numFmtId="0" fontId="13" fillId="6" borderId="30" xfId="0" applyFont="1" applyFill="1" applyBorder="1" applyAlignment="1">
      <alignment horizontal="center" vertical="center" wrapText="1"/>
    </xf>
    <xf numFmtId="0" fontId="0" fillId="0" borderId="71" xfId="0" applyBorder="1" applyAlignment="1"/>
    <xf numFmtId="2" fontId="12" fillId="3" borderId="3" xfId="0" applyNumberFormat="1" applyFont="1" applyFill="1" applyBorder="1" applyAlignment="1">
      <alignment horizontal="center" vertical="center" wrapText="1"/>
    </xf>
    <xf numFmtId="3" fontId="13" fillId="6" borderId="3" xfId="0" applyNumberFormat="1" applyFont="1" applyFill="1" applyBorder="1" applyAlignment="1">
      <alignment horizontal="center" vertical="center" wrapText="1"/>
    </xf>
    <xf numFmtId="0" fontId="12" fillId="3" borderId="30" xfId="0" applyFont="1" applyFill="1" applyBorder="1" applyAlignment="1">
      <alignment horizontal="center" vertical="center" wrapText="1"/>
    </xf>
    <xf numFmtId="49" fontId="12" fillId="3" borderId="3" xfId="0" applyNumberFormat="1" applyFont="1" applyFill="1" applyBorder="1" applyAlignment="1">
      <alignment horizontal="center" vertical="center" wrapText="1"/>
    </xf>
    <xf numFmtId="0" fontId="13" fillId="6" borderId="48" xfId="0" applyFont="1" applyFill="1" applyBorder="1" applyAlignment="1">
      <alignment horizontal="center" vertical="center" wrapText="1"/>
    </xf>
    <xf numFmtId="0" fontId="0" fillId="0" borderId="78" xfId="0" applyBorder="1" applyAlignment="1"/>
    <xf numFmtId="0" fontId="0" fillId="0" borderId="79" xfId="0" applyBorder="1" applyAlignment="1"/>
    <xf numFmtId="0" fontId="0" fillId="0" borderId="80" xfId="0" applyBorder="1" applyAlignment="1"/>
    <xf numFmtId="49" fontId="12" fillId="3" borderId="68" xfId="0" applyNumberFormat="1" applyFont="1" applyFill="1" applyBorder="1" applyAlignment="1">
      <alignment horizontal="center" vertical="center" wrapText="1"/>
    </xf>
    <xf numFmtId="0" fontId="0" fillId="0" borderId="69" xfId="0" applyBorder="1" applyAlignment="1"/>
    <xf numFmtId="180" fontId="13" fillId="6" borderId="44" xfId="0" applyNumberFormat="1" applyFont="1" applyFill="1" applyBorder="1" applyAlignment="1">
      <alignment horizontal="center" vertical="center" wrapText="1"/>
    </xf>
    <xf numFmtId="0" fontId="0" fillId="0" borderId="76" xfId="0" applyBorder="1" applyAlignment="1"/>
    <xf numFmtId="178" fontId="13" fillId="6" borderId="44" xfId="0" applyNumberFormat="1" applyFont="1" applyFill="1" applyBorder="1" applyAlignment="1">
      <alignment horizontal="center" vertical="center" wrapText="1"/>
    </xf>
    <xf numFmtId="0" fontId="0" fillId="0" borderId="75" xfId="0" applyBorder="1" applyAlignment="1"/>
    <xf numFmtId="10" fontId="12" fillId="3" borderId="3" xfId="0" applyNumberFormat="1" applyFont="1" applyFill="1" applyBorder="1" applyAlignment="1">
      <alignment horizontal="center" vertical="center" wrapText="1"/>
    </xf>
    <xf numFmtId="0" fontId="13" fillId="6" borderId="61" xfId="0" applyFont="1" applyFill="1" applyBorder="1" applyAlignment="1">
      <alignment horizontal="center" vertical="center" wrapText="1"/>
    </xf>
    <xf numFmtId="0" fontId="0" fillId="0" borderId="6" xfId="0" applyBorder="1" applyAlignment="1"/>
    <xf numFmtId="0" fontId="0" fillId="0" borderId="73" xfId="0" applyBorder="1" applyAlignment="1"/>
    <xf numFmtId="0" fontId="0" fillId="0" borderId="74" xfId="0" applyBorder="1" applyAlignment="1"/>
    <xf numFmtId="0" fontId="11" fillId="9" borderId="41" xfId="0" applyFont="1" applyFill="1" applyBorder="1" applyAlignment="1">
      <alignment horizontal="center" vertical="center" wrapText="1"/>
    </xf>
    <xf numFmtId="0" fontId="0" fillId="0" borderId="38" xfId="0" applyBorder="1" applyAlignment="1"/>
    <xf numFmtId="0" fontId="12" fillId="3" borderId="47" xfId="0" applyFont="1" applyFill="1" applyBorder="1" applyAlignment="1">
      <alignment horizontal="center" vertical="center" wrapText="1"/>
    </xf>
    <xf numFmtId="0" fontId="11" fillId="9" borderId="32" xfId="0" applyFont="1" applyFill="1" applyBorder="1" applyAlignment="1">
      <alignment horizontal="center" vertical="center" wrapText="1"/>
    </xf>
    <xf numFmtId="49" fontId="13" fillId="6" borderId="70" xfId="0" applyNumberFormat="1" applyFont="1" applyFill="1" applyBorder="1" applyAlignment="1">
      <alignment horizontal="center" vertical="center" wrapText="1"/>
    </xf>
    <xf numFmtId="0" fontId="0" fillId="0" borderId="77" xfId="0" applyBorder="1" applyAlignment="1"/>
    <xf numFmtId="0" fontId="11" fillId="9" borderId="35" xfId="0" applyFont="1" applyFill="1" applyBorder="1" applyAlignment="1">
      <alignment horizontal="center" vertical="center" wrapText="1"/>
    </xf>
    <xf numFmtId="178" fontId="13" fillId="6" borderId="3" xfId="0" applyNumberFormat="1" applyFont="1" applyFill="1" applyBorder="1" applyAlignment="1">
      <alignment horizontal="center" vertical="center" wrapText="1"/>
    </xf>
    <xf numFmtId="0" fontId="13" fillId="6" borderId="3" xfId="0" applyFont="1" applyFill="1" applyBorder="1" applyAlignment="1">
      <alignment horizontal="center" vertical="center" wrapText="1"/>
    </xf>
    <xf numFmtId="180" fontId="13" fillId="6" borderId="83" xfId="0" applyNumberFormat="1" applyFont="1" applyFill="1" applyBorder="1" applyAlignment="1">
      <alignment horizontal="center" vertical="center" wrapText="1"/>
    </xf>
    <xf numFmtId="0" fontId="13" fillId="6" borderId="83" xfId="0" applyFont="1" applyFill="1" applyBorder="1" applyAlignment="1">
      <alignment horizontal="center" vertical="center" wrapText="1"/>
    </xf>
    <xf numFmtId="0" fontId="13" fillId="6" borderId="45" xfId="0" applyFont="1" applyFill="1" applyBorder="1" applyAlignment="1">
      <alignment horizontal="center" vertical="center" wrapText="1"/>
    </xf>
    <xf numFmtId="0" fontId="0" fillId="0" borderId="84" xfId="0" applyBorder="1" applyAlignment="1"/>
    <xf numFmtId="0" fontId="10" fillId="4" borderId="85" xfId="0" applyFont="1" applyFill="1" applyBorder="1" applyAlignment="1">
      <alignment horizontal="center" vertical="center"/>
    </xf>
    <xf numFmtId="0" fontId="0" fillId="0" borderId="53" xfId="0" applyBorder="1" applyAlignment="1"/>
    <xf numFmtId="0" fontId="0" fillId="0" borderId="54" xfId="0" applyBorder="1" applyAlignment="1"/>
    <xf numFmtId="0" fontId="13" fillId="6" borderId="44" xfId="0" applyFont="1" applyFill="1" applyBorder="1" applyAlignment="1">
      <alignment horizontal="center" vertical="center" wrapText="1"/>
    </xf>
    <xf numFmtId="0" fontId="11" fillId="9" borderId="36" xfId="0" applyFont="1" applyFill="1" applyBorder="1" applyAlignment="1">
      <alignment horizontal="center" vertical="center" wrapText="1"/>
    </xf>
    <xf numFmtId="180" fontId="13" fillId="6" borderId="3" xfId="0" applyNumberFormat="1" applyFont="1" applyFill="1" applyBorder="1" applyAlignment="1">
      <alignment horizontal="center" vertical="center" wrapText="1"/>
    </xf>
    <xf numFmtId="3" fontId="13" fillId="6" borderId="44" xfId="0" applyNumberFormat="1" applyFont="1" applyFill="1" applyBorder="1" applyAlignment="1">
      <alignment horizontal="center" vertical="center" wrapText="1"/>
    </xf>
    <xf numFmtId="0" fontId="11" fillId="9" borderId="57" xfId="0" applyFont="1" applyFill="1" applyBorder="1" applyAlignment="1">
      <alignment horizontal="center" vertical="center" wrapText="1"/>
    </xf>
    <xf numFmtId="0" fontId="13" fillId="6" borderId="47" xfId="0" applyFont="1" applyFill="1" applyBorder="1" applyAlignment="1">
      <alignment horizontal="center" vertical="center" wrapText="1"/>
    </xf>
    <xf numFmtId="10" fontId="13" fillId="6" borderId="44" xfId="0" applyNumberFormat="1" applyFont="1" applyFill="1" applyBorder="1" applyAlignment="1">
      <alignment horizontal="center" vertical="center" wrapText="1"/>
    </xf>
    <xf numFmtId="0" fontId="13" fillId="6" borderId="59" xfId="0" applyFont="1" applyFill="1" applyBorder="1" applyAlignment="1">
      <alignment horizontal="center" vertical="center" wrapText="1"/>
    </xf>
    <xf numFmtId="0" fontId="0" fillId="0" borderId="60" xfId="0" applyBorder="1" applyAlignment="1"/>
    <xf numFmtId="0" fontId="0" fillId="0" borderId="4" xfId="0" applyBorder="1" applyAlignment="1"/>
    <xf numFmtId="0" fontId="0" fillId="0" borderId="39" xfId="0" applyBorder="1" applyAlignment="1"/>
    <xf numFmtId="0" fontId="0" fillId="0" borderId="40" xfId="0" applyBorder="1" applyAlignment="1"/>
    <xf numFmtId="0" fontId="14" fillId="10" borderId="2" xfId="0" applyFont="1" applyFill="1" applyAlignment="1">
      <alignment horizontal="center" vertical="center"/>
    </xf>
  </cellXfs>
  <cellStyles count="4">
    <cellStyle name="백분율" xfId="2" xr:uid="{00000000-0005-0000-0000-000002000000}"/>
    <cellStyle name="쉼표 [0]" xfId="1" xr:uid="{00000000-0005-0000-0000-000001000000}"/>
    <cellStyle name="표준" xfId="0" builtinId="0"/>
    <cellStyle name="표준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RealEstateReport">
  <a:themeElements>
    <a:clrScheme name="RealEstateReport">
      <a:dk1>
        <a:srgbClr val="111827"/>
      </a:dk1>
      <a:lt1>
        <a:srgbClr val="FFFFFF"/>
      </a:lt1>
      <a:dk2>
        <a:srgbClr val="44546A"/>
      </a:dk2>
      <a:lt2>
        <a:srgbClr val="E5E7EB"/>
      </a:lt2>
      <a:accent1>
        <a:srgbClr val="17365D"/>
      </a:accent1>
      <a:accent2>
        <a:srgbClr val="1F4E78"/>
      </a:accent2>
      <a:accent3>
        <a:srgbClr val="D9EAF7"/>
      </a:accent3>
      <a:accent4>
        <a:srgbClr val="F4B183"/>
      </a:accent4>
      <a:accent5>
        <a:srgbClr val="E2F0D9"/>
      </a:accent5>
      <a:accent6>
        <a:srgbClr val="F2F2F2"/>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RealEstateReport">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45"/>
  <sheetViews>
    <sheetView topLeftCell="A31" workbookViewId="0">
      <selection activeCell="G12" sqref="G12:H12"/>
    </sheetView>
  </sheetViews>
  <sheetFormatPr defaultRowHeight="16.5" x14ac:dyDescent="0.3"/>
  <cols>
    <col min="1" max="1" width="11" style="66" customWidth="1"/>
    <col min="2" max="3" width="12" style="66" customWidth="1"/>
    <col min="4" max="4" width="17" style="66" customWidth="1"/>
    <col min="5" max="5" width="5.75" style="66" customWidth="1"/>
    <col min="6" max="6" width="10" style="66" customWidth="1"/>
    <col min="7" max="8" width="12" style="66" customWidth="1"/>
    <col min="9" max="9" width="13" style="66" customWidth="1"/>
    <col min="10" max="10" width="16" style="66" customWidth="1"/>
  </cols>
  <sheetData>
    <row r="1" spans="1:29" ht="27.95" customHeight="1" x14ac:dyDescent="0.3">
      <c r="A1" s="136" t="s">
        <v>0</v>
      </c>
      <c r="B1" s="103"/>
      <c r="C1" s="103"/>
      <c r="D1" s="103"/>
      <c r="E1" s="103"/>
      <c r="F1" s="103"/>
      <c r="G1" s="103"/>
      <c r="H1" s="103"/>
      <c r="I1" s="103"/>
      <c r="J1" s="103"/>
    </row>
    <row r="2" spans="1:29" ht="21.95" customHeight="1" x14ac:dyDescent="0.3">
      <c r="A2" s="92" t="s">
        <v>1</v>
      </c>
      <c r="B2" s="91"/>
      <c r="C2" s="50"/>
      <c r="D2" s="50"/>
      <c r="E2" s="50"/>
      <c r="F2" s="50"/>
      <c r="G2" s="50"/>
      <c r="H2" s="50"/>
      <c r="I2" s="50"/>
      <c r="J2" s="50"/>
    </row>
    <row r="3" spans="1:29" ht="24" customHeight="1" x14ac:dyDescent="0.3">
      <c r="A3" s="64" t="s">
        <v>2</v>
      </c>
      <c r="B3" s="93" t="s">
        <v>3</v>
      </c>
      <c r="C3" s="104"/>
      <c r="D3" s="104"/>
      <c r="E3" s="104"/>
      <c r="F3" s="104"/>
      <c r="G3" s="94"/>
      <c r="H3" s="98" t="s">
        <v>4</v>
      </c>
      <c r="I3" s="104"/>
      <c r="J3" s="99"/>
    </row>
    <row r="4" spans="1:29" ht="24" customHeight="1" x14ac:dyDescent="0.3">
      <c r="A4" s="69" t="s">
        <v>5</v>
      </c>
      <c r="B4" s="110" t="s">
        <v>6</v>
      </c>
      <c r="C4" s="127"/>
      <c r="D4" s="127"/>
      <c r="E4" s="127"/>
      <c r="F4" s="127"/>
      <c r="G4" s="101"/>
      <c r="H4" s="126" t="s">
        <v>7</v>
      </c>
      <c r="I4" s="127"/>
      <c r="J4" s="113"/>
    </row>
    <row r="5" spans="1:29" ht="19.899999999999999" customHeight="1" x14ac:dyDescent="0.3">
      <c r="A5" s="51"/>
      <c r="B5" s="51"/>
      <c r="C5" s="51"/>
      <c r="D5" s="51"/>
      <c r="E5" s="51"/>
      <c r="F5" s="51"/>
      <c r="G5" s="51"/>
      <c r="H5" s="51"/>
      <c r="I5" s="51"/>
      <c r="J5" s="51"/>
    </row>
    <row r="6" spans="1:29" ht="21.95" customHeight="1" x14ac:dyDescent="0.3">
      <c r="A6" s="92" t="s">
        <v>8</v>
      </c>
      <c r="B6" s="91"/>
      <c r="C6" s="50"/>
      <c r="D6" s="50"/>
      <c r="E6" s="50"/>
      <c r="F6" s="50"/>
      <c r="G6" s="50"/>
      <c r="H6" s="50"/>
      <c r="I6" s="50"/>
      <c r="J6" s="50" t="s">
        <v>9</v>
      </c>
    </row>
    <row r="7" spans="1:29" ht="24" customHeight="1" x14ac:dyDescent="0.3">
      <c r="A7" s="95" t="s">
        <v>10</v>
      </c>
      <c r="B7" s="93" t="s">
        <v>11</v>
      </c>
      <c r="C7" s="94"/>
      <c r="D7" s="93" t="s">
        <v>12</v>
      </c>
      <c r="E7" s="129"/>
      <c r="F7" s="93" t="s">
        <v>13</v>
      </c>
      <c r="G7" s="93" t="s">
        <v>14</v>
      </c>
      <c r="H7" s="129"/>
      <c r="I7" s="98" t="s">
        <v>15</v>
      </c>
      <c r="J7" s="130"/>
    </row>
    <row r="8" spans="1:29" ht="24" customHeight="1" x14ac:dyDescent="0.3">
      <c r="A8" s="96"/>
      <c r="B8" s="54" t="s">
        <v>16</v>
      </c>
      <c r="C8" s="54" t="s">
        <v>17</v>
      </c>
      <c r="D8" s="124"/>
      <c r="E8" s="119"/>
      <c r="F8" s="111"/>
      <c r="G8" s="124"/>
      <c r="H8" s="119"/>
      <c r="I8" s="124"/>
      <c r="J8" s="131"/>
    </row>
    <row r="9" spans="1:29" ht="19.899999999999999" customHeight="1" x14ac:dyDescent="0.3">
      <c r="A9" s="68" t="s">
        <v>18</v>
      </c>
      <c r="B9" s="20">
        <v>1113.8</v>
      </c>
      <c r="C9" s="20">
        <f>B9*0.3025</f>
        <v>336.92449999999997</v>
      </c>
      <c r="D9" s="114">
        <v>22598400000</v>
      </c>
      <c r="E9" s="91"/>
      <c r="F9" s="77">
        <f>IFERROR(D9/$D$13,0)</f>
        <v>0.8</v>
      </c>
      <c r="G9" s="114">
        <f>IFERROR(D9/B9,0)</f>
        <v>20289459.507990662</v>
      </c>
      <c r="H9" s="91"/>
      <c r="I9" s="114">
        <f>IFERROR(D9/C9,0)</f>
        <v>67072593.414845169</v>
      </c>
      <c r="J9" s="91"/>
    </row>
    <row r="10" spans="1:29" ht="19.899999999999999" customHeight="1" x14ac:dyDescent="0.3">
      <c r="A10" s="68" t="s">
        <v>19</v>
      </c>
      <c r="B10" s="20">
        <v>3763.48</v>
      </c>
      <c r="C10" s="20">
        <f>B10*0.3025</f>
        <v>1138.4527</v>
      </c>
      <c r="D10" s="114">
        <v>5649600000</v>
      </c>
      <c r="E10" s="91"/>
      <c r="F10" s="77">
        <f>IFERROR(D10/$D$13,0)</f>
        <v>0.2</v>
      </c>
      <c r="G10" s="114">
        <f>IFERROR(D10/B10,0)</f>
        <v>1501163.8164677373</v>
      </c>
      <c r="H10" s="91"/>
      <c r="I10" s="114">
        <f>IFERROR(D10/C10,0)</f>
        <v>4962525.0131164864</v>
      </c>
      <c r="J10" s="91"/>
    </row>
    <row r="11" spans="1:29" ht="19.899999999999999" customHeight="1" x14ac:dyDescent="0.3">
      <c r="A11" s="68" t="s">
        <v>20</v>
      </c>
      <c r="B11" s="20"/>
      <c r="C11" s="20">
        <f>B11*0.3025</f>
        <v>0</v>
      </c>
      <c r="D11" s="114"/>
      <c r="E11" s="91"/>
      <c r="F11" s="77"/>
      <c r="G11" s="114"/>
      <c r="H11" s="91"/>
      <c r="I11" s="114"/>
      <c r="J11" s="91"/>
    </row>
    <row r="12" spans="1:29" ht="19.899999999999999" customHeight="1" x14ac:dyDescent="0.3">
      <c r="A12" s="68" t="s">
        <v>21</v>
      </c>
      <c r="B12" s="20"/>
      <c r="C12" s="20"/>
      <c r="D12" s="114"/>
      <c r="E12" s="91"/>
      <c r="F12" s="77"/>
      <c r="G12" s="114"/>
      <c r="H12" s="91"/>
      <c r="I12" s="137"/>
      <c r="J12" s="106"/>
      <c r="P12" s="67"/>
      <c r="Q12" s="67"/>
      <c r="R12" s="67"/>
      <c r="S12" s="67"/>
      <c r="T12" s="67"/>
      <c r="U12" s="67"/>
      <c r="V12" s="67"/>
      <c r="W12" s="67"/>
      <c r="X12" s="67"/>
      <c r="Y12" s="67"/>
      <c r="Z12" s="67"/>
      <c r="AA12" s="67"/>
      <c r="AB12" s="67"/>
      <c r="AC12" s="67"/>
    </row>
    <row r="13" spans="1:29" ht="19.899999999999999" customHeight="1" x14ac:dyDescent="0.3">
      <c r="A13" s="35" t="s">
        <v>22</v>
      </c>
      <c r="B13" s="21">
        <f>SUM(B9:B12)</f>
        <v>4877.28</v>
      </c>
      <c r="C13" s="21">
        <f>SUM(C9:C12)</f>
        <v>1475.3771999999999</v>
      </c>
      <c r="D13" s="100">
        <f>SUM(D9:E12)</f>
        <v>28248000000</v>
      </c>
      <c r="E13" s="101"/>
      <c r="F13" s="78">
        <f>SUM(F9:F12)</f>
        <v>1</v>
      </c>
      <c r="G13" s="100"/>
      <c r="H13" s="101"/>
      <c r="I13" s="112"/>
      <c r="J13" s="113"/>
      <c r="P13" s="67"/>
      <c r="Q13" s="67"/>
      <c r="R13" s="67"/>
      <c r="S13" s="67"/>
      <c r="T13" s="67"/>
      <c r="U13" s="67"/>
      <c r="V13" s="67"/>
      <c r="W13" s="67"/>
      <c r="X13" s="67"/>
      <c r="Y13" s="67"/>
      <c r="Z13" s="67"/>
      <c r="AA13" s="67"/>
      <c r="AB13" s="67"/>
      <c r="AC13" s="67"/>
    </row>
    <row r="14" spans="1:29" ht="19.899999999999999" customHeight="1" x14ac:dyDescent="0.3">
      <c r="A14" s="51"/>
      <c r="B14" s="51"/>
      <c r="C14" s="51"/>
      <c r="D14" s="51"/>
      <c r="E14" s="51"/>
      <c r="F14" s="51"/>
      <c r="G14" s="51"/>
      <c r="H14" s="51"/>
      <c r="I14" s="51"/>
      <c r="J14" s="51"/>
      <c r="P14" s="67"/>
      <c r="Q14" s="67"/>
      <c r="R14" s="67"/>
      <c r="S14" s="67"/>
      <c r="T14" s="67"/>
      <c r="U14" s="67"/>
      <c r="V14" s="67"/>
      <c r="W14" s="67"/>
      <c r="X14" s="67"/>
      <c r="Y14" s="67"/>
      <c r="Z14" s="67"/>
      <c r="AA14" s="67"/>
      <c r="AB14" s="67"/>
      <c r="AC14" s="67"/>
    </row>
    <row r="15" spans="1:29" ht="21.95" customHeight="1" x14ac:dyDescent="0.3">
      <c r="A15" s="92" t="s">
        <v>23</v>
      </c>
      <c r="B15" s="91"/>
      <c r="C15" s="50"/>
      <c r="D15" s="50"/>
      <c r="E15" s="50"/>
      <c r="F15" s="50"/>
      <c r="G15" s="50"/>
      <c r="H15" s="50"/>
      <c r="I15" s="50"/>
      <c r="J15" s="50"/>
      <c r="P15" s="67"/>
      <c r="Q15" s="67"/>
      <c r="R15" s="67"/>
      <c r="S15" s="67"/>
      <c r="T15" s="67"/>
      <c r="U15" s="67"/>
      <c r="V15" s="67"/>
      <c r="W15" s="67"/>
      <c r="X15" s="67"/>
      <c r="Y15" s="67"/>
      <c r="Z15" s="67"/>
      <c r="AA15" s="67"/>
      <c r="AB15" s="67"/>
      <c r="AC15" s="67"/>
    </row>
    <row r="16" spans="1:29" ht="24" customHeight="1" x14ac:dyDescent="0.3">
      <c r="A16" s="95" t="s">
        <v>24</v>
      </c>
      <c r="B16" s="94"/>
      <c r="C16" s="53" t="s">
        <v>25</v>
      </c>
      <c r="D16" s="93" t="s">
        <v>26</v>
      </c>
      <c r="E16" s="94"/>
      <c r="F16" s="93" t="s">
        <v>27</v>
      </c>
      <c r="G16" s="94"/>
      <c r="H16" s="53" t="s">
        <v>28</v>
      </c>
      <c r="I16" s="98" t="s">
        <v>29</v>
      </c>
      <c r="J16" s="99"/>
      <c r="P16" s="67"/>
      <c r="Q16" s="6"/>
      <c r="R16" s="6"/>
      <c r="S16" s="6"/>
      <c r="T16" s="6"/>
      <c r="U16" s="6"/>
      <c r="V16" s="6"/>
      <c r="W16" s="6"/>
      <c r="X16" s="6"/>
      <c r="Y16" s="6"/>
      <c r="Z16" s="6"/>
      <c r="AA16" s="67"/>
      <c r="AB16" s="67"/>
      <c r="AC16" s="67"/>
    </row>
    <row r="17" spans="1:29" ht="19.899999999999999" customHeight="1" x14ac:dyDescent="0.3">
      <c r="A17" s="109" t="s">
        <v>30</v>
      </c>
      <c r="B17" s="91"/>
      <c r="C17" s="52" t="s">
        <v>31</v>
      </c>
      <c r="D17" s="90" t="s">
        <v>32</v>
      </c>
      <c r="E17" s="91"/>
      <c r="F17" s="107"/>
      <c r="G17" s="91"/>
      <c r="H17" s="52" t="s">
        <v>33</v>
      </c>
      <c r="I17" s="90" t="s">
        <v>34</v>
      </c>
      <c r="J17" s="91"/>
      <c r="P17" s="67"/>
      <c r="Q17" s="6"/>
      <c r="R17" s="6"/>
      <c r="S17" s="6"/>
      <c r="T17" s="6"/>
      <c r="U17" s="6"/>
      <c r="V17" s="6"/>
      <c r="W17" s="6"/>
      <c r="X17" s="6"/>
      <c r="Y17" s="6"/>
      <c r="Z17" s="6"/>
      <c r="AA17" s="67"/>
      <c r="AB17" s="67"/>
      <c r="AC17" s="67"/>
    </row>
    <row r="18" spans="1:29" ht="19.899999999999999" customHeight="1" x14ac:dyDescent="0.3">
      <c r="A18" s="109" t="s">
        <v>30</v>
      </c>
      <c r="B18" s="91"/>
      <c r="C18" s="52" t="s">
        <v>35</v>
      </c>
      <c r="D18" s="90" t="s">
        <v>36</v>
      </c>
      <c r="E18" s="91"/>
      <c r="F18" s="107"/>
      <c r="G18" s="91"/>
      <c r="H18" s="52" t="s">
        <v>33</v>
      </c>
      <c r="I18" s="105" t="s">
        <v>37</v>
      </c>
      <c r="J18" s="106"/>
      <c r="P18" s="67"/>
      <c r="Q18" s="7"/>
      <c r="R18" s="7"/>
      <c r="S18" s="8"/>
      <c r="T18" s="9"/>
      <c r="U18" s="1"/>
      <c r="V18" s="8"/>
      <c r="W18" s="8"/>
      <c r="X18" s="8"/>
      <c r="Y18" s="8"/>
      <c r="Z18" s="8"/>
      <c r="AA18" s="67"/>
      <c r="AB18" s="67"/>
      <c r="AC18" s="67"/>
    </row>
    <row r="19" spans="1:29" ht="19.899999999999999" customHeight="1" x14ac:dyDescent="0.3">
      <c r="A19" s="109" t="s">
        <v>30</v>
      </c>
      <c r="B19" s="91"/>
      <c r="C19" s="52" t="s">
        <v>38</v>
      </c>
      <c r="D19" s="90" t="s">
        <v>39</v>
      </c>
      <c r="E19" s="91"/>
      <c r="F19" s="107"/>
      <c r="G19" s="91"/>
      <c r="H19" s="52" t="s">
        <v>33</v>
      </c>
      <c r="I19" s="90" t="s">
        <v>40</v>
      </c>
      <c r="J19" s="91"/>
      <c r="P19" s="67"/>
      <c r="Q19" s="7"/>
      <c r="R19" s="7"/>
      <c r="S19" s="7"/>
      <c r="T19" s="7"/>
      <c r="U19" s="7"/>
      <c r="V19" s="7"/>
      <c r="W19" s="7"/>
      <c r="X19" s="7"/>
      <c r="Y19" s="7"/>
      <c r="Z19" s="7"/>
      <c r="AA19" s="67"/>
      <c r="AB19" s="67"/>
      <c r="AC19" s="67"/>
    </row>
    <row r="20" spans="1:29" ht="19.899999999999999" customHeight="1" x14ac:dyDescent="0.3">
      <c r="A20" s="109" t="s">
        <v>30</v>
      </c>
      <c r="B20" s="91"/>
      <c r="C20" s="52" t="s">
        <v>41</v>
      </c>
      <c r="D20" s="90" t="s">
        <v>42</v>
      </c>
      <c r="E20" s="91"/>
      <c r="F20" s="107"/>
      <c r="G20" s="91"/>
      <c r="H20" s="52" t="s">
        <v>43</v>
      </c>
      <c r="I20" s="90" t="s">
        <v>44</v>
      </c>
      <c r="J20" s="91"/>
      <c r="P20" s="67"/>
      <c r="Q20" s="8"/>
      <c r="R20" s="8"/>
      <c r="S20" s="8"/>
      <c r="T20" s="8"/>
      <c r="U20" s="10"/>
      <c r="V20" s="8"/>
      <c r="W20" s="10"/>
      <c r="X20" s="8"/>
      <c r="Y20" s="79"/>
      <c r="Z20" s="79"/>
      <c r="AA20" s="67"/>
      <c r="AB20" s="67"/>
      <c r="AC20" s="67"/>
    </row>
    <row r="21" spans="1:29" ht="24" customHeight="1" x14ac:dyDescent="0.3">
      <c r="A21" s="109" t="s">
        <v>30</v>
      </c>
      <c r="B21" s="91"/>
      <c r="C21" s="52" t="s">
        <v>45</v>
      </c>
      <c r="D21" s="90" t="s">
        <v>46</v>
      </c>
      <c r="E21" s="91"/>
      <c r="F21" s="107" t="s">
        <v>47</v>
      </c>
      <c r="G21" s="91"/>
      <c r="H21" s="52" t="s">
        <v>48</v>
      </c>
      <c r="I21" s="122" t="s">
        <v>49</v>
      </c>
      <c r="J21" s="91"/>
      <c r="P21" s="67"/>
      <c r="Q21" s="7"/>
      <c r="R21" s="7"/>
      <c r="S21" s="7"/>
      <c r="T21" s="7"/>
      <c r="U21" s="9"/>
      <c r="V21" s="9"/>
      <c r="W21" s="9"/>
      <c r="X21" s="9"/>
      <c r="Y21" s="9"/>
      <c r="Z21" s="9"/>
      <c r="AA21" s="67"/>
      <c r="AB21" s="67"/>
      <c r="AC21" s="67"/>
    </row>
    <row r="22" spans="1:29" ht="19.899999999999999" customHeight="1" x14ac:dyDescent="0.3">
      <c r="A22" s="109"/>
      <c r="B22" s="91"/>
      <c r="C22" s="52"/>
      <c r="D22" s="90"/>
      <c r="E22" s="91"/>
      <c r="F22" s="107"/>
      <c r="G22" s="91"/>
      <c r="H22" s="52"/>
      <c r="I22" s="90"/>
      <c r="J22" s="91"/>
      <c r="P22" s="67"/>
      <c r="Q22" s="8"/>
      <c r="R22" s="8"/>
      <c r="S22" s="80"/>
      <c r="T22" s="80"/>
      <c r="U22" s="11"/>
      <c r="V22" s="12"/>
      <c r="W22" s="2"/>
      <c r="X22" s="8"/>
      <c r="Y22" s="8"/>
      <c r="Z22" s="8"/>
      <c r="AA22" s="67"/>
      <c r="AB22" s="67"/>
      <c r="AC22" s="67"/>
    </row>
    <row r="23" spans="1:29" ht="19.899999999999999" customHeight="1" x14ac:dyDescent="0.3">
      <c r="A23" s="109"/>
      <c r="B23" s="91"/>
      <c r="C23" s="52"/>
      <c r="D23" s="90"/>
      <c r="E23" s="91"/>
      <c r="F23" s="107"/>
      <c r="G23" s="91"/>
      <c r="H23" s="52"/>
      <c r="I23" s="90"/>
      <c r="J23" s="91"/>
      <c r="P23" s="67"/>
      <c r="Q23" s="8"/>
      <c r="R23" s="8"/>
      <c r="S23" s="80"/>
      <c r="T23" s="80"/>
      <c r="U23" s="11"/>
      <c r="V23" s="12"/>
      <c r="W23" s="2"/>
      <c r="X23" s="8"/>
      <c r="Y23" s="8"/>
      <c r="Z23" s="8"/>
      <c r="AA23" s="67"/>
      <c r="AB23" s="67"/>
      <c r="AC23" s="67"/>
    </row>
    <row r="24" spans="1:29" ht="19.899999999999999" customHeight="1" x14ac:dyDescent="0.3">
      <c r="A24" s="132"/>
      <c r="B24" s="101"/>
      <c r="C24" s="55"/>
      <c r="D24" s="110"/>
      <c r="E24" s="101"/>
      <c r="F24" s="135"/>
      <c r="G24" s="101"/>
      <c r="H24" s="55"/>
      <c r="I24" s="110"/>
      <c r="J24" s="101"/>
      <c r="P24" s="67"/>
      <c r="Q24" s="8"/>
      <c r="R24" s="8"/>
      <c r="S24" s="80"/>
      <c r="T24" s="80"/>
      <c r="U24" s="11"/>
      <c r="V24" s="12"/>
      <c r="W24" s="2"/>
      <c r="X24" s="8"/>
      <c r="Y24" s="8"/>
      <c r="Z24" s="8"/>
      <c r="AA24" s="67"/>
      <c r="AB24" s="67"/>
      <c r="AC24" s="67"/>
    </row>
    <row r="25" spans="1:29" ht="19.899999999999999" customHeight="1" x14ac:dyDescent="0.3">
      <c r="A25" s="51"/>
      <c r="B25" s="51"/>
      <c r="C25" s="51"/>
      <c r="D25" s="51"/>
      <c r="E25" s="51"/>
      <c r="F25" s="51"/>
      <c r="G25" s="51"/>
      <c r="H25" s="51"/>
      <c r="I25" s="51"/>
      <c r="J25" s="51"/>
      <c r="P25" s="67"/>
      <c r="Q25" s="8"/>
      <c r="R25" s="8"/>
      <c r="S25" s="81"/>
      <c r="T25" s="81"/>
      <c r="U25" s="11"/>
      <c r="V25" s="12"/>
      <c r="W25" s="3"/>
      <c r="X25" s="79"/>
      <c r="Y25" s="4"/>
      <c r="Z25" s="8"/>
      <c r="AA25" s="67"/>
      <c r="AB25" s="67"/>
      <c r="AC25" s="67"/>
    </row>
    <row r="26" spans="1:29" ht="21.95" customHeight="1" x14ac:dyDescent="0.3">
      <c r="A26" s="92" t="s">
        <v>50</v>
      </c>
      <c r="B26" s="91"/>
      <c r="C26" s="50"/>
      <c r="D26" s="50"/>
      <c r="E26" s="50"/>
      <c r="F26" s="50"/>
      <c r="G26" s="50"/>
      <c r="H26" s="50"/>
      <c r="I26" s="50"/>
      <c r="J26" s="50"/>
      <c r="P26" s="67"/>
      <c r="Q26" s="6"/>
      <c r="R26" s="6"/>
      <c r="S26" s="6"/>
      <c r="T26" s="6"/>
      <c r="U26" s="6"/>
      <c r="V26" s="6"/>
      <c r="W26" s="6"/>
      <c r="X26" s="6"/>
      <c r="Y26" s="6"/>
      <c r="Z26" s="6"/>
      <c r="AA26" s="67"/>
      <c r="AB26" s="67"/>
      <c r="AC26" s="67"/>
    </row>
    <row r="27" spans="1:29" ht="24" customHeight="1" x14ac:dyDescent="0.3">
      <c r="A27" s="95" t="s">
        <v>51</v>
      </c>
      <c r="B27" s="94"/>
      <c r="C27" s="53" t="s">
        <v>52</v>
      </c>
      <c r="D27" s="93" t="s">
        <v>53</v>
      </c>
      <c r="E27" s="94"/>
      <c r="F27" s="93" t="s">
        <v>54</v>
      </c>
      <c r="G27" s="94"/>
      <c r="H27" s="93" t="s">
        <v>55</v>
      </c>
      <c r="I27" s="94"/>
      <c r="J27" s="36" t="s">
        <v>28</v>
      </c>
      <c r="N27" s="67"/>
      <c r="O27" s="67"/>
      <c r="P27" s="67"/>
      <c r="Q27" s="67"/>
      <c r="R27" s="67"/>
      <c r="S27" s="67"/>
      <c r="T27" s="6"/>
      <c r="U27" s="6"/>
      <c r="V27" s="6"/>
      <c r="W27" s="6"/>
      <c r="X27" s="6"/>
      <c r="Y27" s="6"/>
      <c r="Z27" s="6"/>
      <c r="AA27" s="67"/>
      <c r="AB27" s="67"/>
      <c r="AC27" s="67"/>
    </row>
    <row r="28" spans="1:29" ht="24" customHeight="1" x14ac:dyDescent="0.3">
      <c r="A28" s="109" t="s">
        <v>30</v>
      </c>
      <c r="B28" s="115"/>
      <c r="C28" s="90" t="s">
        <v>30</v>
      </c>
      <c r="D28" s="122" t="s">
        <v>56</v>
      </c>
      <c r="E28" s="115"/>
      <c r="F28" s="122" t="s">
        <v>57</v>
      </c>
      <c r="G28" s="115"/>
      <c r="H28" s="122" t="s">
        <v>58</v>
      </c>
      <c r="I28" s="115"/>
      <c r="J28" s="105" t="s">
        <v>59</v>
      </c>
      <c r="N28" s="67"/>
      <c r="O28" s="67"/>
      <c r="P28" s="67"/>
      <c r="Q28" s="67"/>
      <c r="R28" s="67"/>
      <c r="S28" s="67"/>
      <c r="T28" s="8"/>
      <c r="U28" s="8"/>
      <c r="V28" s="8"/>
      <c r="W28" s="8"/>
      <c r="X28" s="8"/>
      <c r="Y28" s="8"/>
      <c r="Z28" s="8"/>
      <c r="AA28" s="67"/>
      <c r="AB28" s="67"/>
      <c r="AC28" s="67"/>
    </row>
    <row r="29" spans="1:29" ht="24" customHeight="1" x14ac:dyDescent="0.3">
      <c r="A29" s="116"/>
      <c r="B29" s="117"/>
      <c r="C29" s="128"/>
      <c r="D29" s="123"/>
      <c r="E29" s="117"/>
      <c r="F29" s="123"/>
      <c r="G29" s="117"/>
      <c r="H29" s="123"/>
      <c r="I29" s="117"/>
      <c r="J29" s="120"/>
      <c r="N29" s="13"/>
      <c r="O29" s="13"/>
      <c r="P29" s="133"/>
      <c r="Q29" s="108"/>
      <c r="R29" s="13"/>
      <c r="S29" s="13"/>
      <c r="T29" s="7"/>
      <c r="U29" s="7"/>
      <c r="V29" s="7"/>
      <c r="W29" s="7"/>
      <c r="X29" s="7"/>
      <c r="Y29" s="7"/>
      <c r="Z29" s="7"/>
      <c r="AA29" s="67"/>
      <c r="AB29" s="67"/>
      <c r="AC29" s="67"/>
    </row>
    <row r="30" spans="1:29" ht="24" customHeight="1" x14ac:dyDescent="0.3">
      <c r="A30" s="118"/>
      <c r="B30" s="119"/>
      <c r="C30" s="111"/>
      <c r="D30" s="124"/>
      <c r="E30" s="119"/>
      <c r="F30" s="124"/>
      <c r="G30" s="119"/>
      <c r="H30" s="124"/>
      <c r="I30" s="119"/>
      <c r="J30" s="121"/>
      <c r="N30" s="14"/>
      <c r="O30" s="15"/>
      <c r="P30" s="125"/>
      <c r="Q30" s="108"/>
      <c r="T30" s="8"/>
      <c r="U30" s="10"/>
      <c r="V30" s="8"/>
      <c r="W30" s="10"/>
      <c r="X30" s="8"/>
      <c r="Y30" s="79"/>
      <c r="Z30" s="79"/>
      <c r="AA30" s="67"/>
      <c r="AB30" s="67"/>
      <c r="AC30" s="67"/>
    </row>
    <row r="31" spans="1:29" ht="19.899999999999999" customHeight="1" x14ac:dyDescent="0.3">
      <c r="A31" s="51"/>
      <c r="B31" s="51"/>
      <c r="C31" s="51"/>
      <c r="D31" s="51"/>
      <c r="E31" s="51"/>
      <c r="F31" s="51"/>
      <c r="G31" s="51"/>
      <c r="H31" s="51"/>
      <c r="I31" s="51"/>
      <c r="J31" s="51"/>
      <c r="N31" s="14"/>
      <c r="O31" s="15"/>
      <c r="P31" s="125"/>
      <c r="Q31" s="108"/>
      <c r="T31" s="7"/>
      <c r="U31" s="9"/>
      <c r="V31" s="9"/>
      <c r="W31" s="7"/>
      <c r="X31" s="7"/>
      <c r="Y31" s="9"/>
      <c r="Z31" s="9"/>
      <c r="AA31" s="67"/>
      <c r="AB31" s="67"/>
      <c r="AC31" s="67"/>
    </row>
    <row r="32" spans="1:29" ht="21.95" customHeight="1" x14ac:dyDescent="0.3">
      <c r="A32" s="92" t="s">
        <v>60</v>
      </c>
      <c r="B32" s="97"/>
      <c r="C32" s="97"/>
      <c r="D32" s="97"/>
      <c r="E32" s="97"/>
      <c r="F32" s="97"/>
      <c r="G32" s="97"/>
      <c r="H32" s="97"/>
      <c r="I32" s="97"/>
      <c r="J32" s="91"/>
      <c r="P32" s="102"/>
      <c r="Q32" s="108"/>
    </row>
    <row r="33" spans="1:17" ht="24" customHeight="1" x14ac:dyDescent="0.3">
      <c r="A33" s="37" t="s">
        <v>61</v>
      </c>
      <c r="B33" s="54" t="s">
        <v>62</v>
      </c>
      <c r="C33" s="134" t="s">
        <v>63</v>
      </c>
      <c r="D33" s="91"/>
      <c r="E33" s="134" t="s">
        <v>64</v>
      </c>
      <c r="F33" s="91"/>
      <c r="G33" s="54" t="s">
        <v>65</v>
      </c>
      <c r="H33" s="54" t="s">
        <v>66</v>
      </c>
      <c r="I33" s="54" t="s">
        <v>67</v>
      </c>
      <c r="J33" s="38" t="s">
        <v>29</v>
      </c>
      <c r="P33" s="102"/>
      <c r="Q33" s="108"/>
    </row>
    <row r="34" spans="1:17" ht="21.95" customHeight="1" x14ac:dyDescent="0.3">
      <c r="A34" s="67" t="s">
        <v>68</v>
      </c>
      <c r="B34" s="67" t="s">
        <v>69</v>
      </c>
      <c r="C34" s="102" t="s">
        <v>70</v>
      </c>
      <c r="D34" s="103"/>
      <c r="E34" s="102" t="s">
        <v>71</v>
      </c>
      <c r="F34" s="103"/>
      <c r="G34" s="67" t="s">
        <v>72</v>
      </c>
      <c r="H34" s="67" t="s">
        <v>73</v>
      </c>
      <c r="I34" s="67" t="s">
        <v>74</v>
      </c>
      <c r="J34" s="67" t="s">
        <v>75</v>
      </c>
      <c r="P34" s="102"/>
      <c r="Q34" s="108"/>
    </row>
    <row r="35" spans="1:17" ht="21.95" customHeight="1" x14ac:dyDescent="0.3">
      <c r="A35" s="67" t="s">
        <v>76</v>
      </c>
      <c r="B35" s="67" t="s">
        <v>77</v>
      </c>
      <c r="C35" s="102" t="s">
        <v>78</v>
      </c>
      <c r="D35" s="103"/>
      <c r="E35" s="102" t="s">
        <v>79</v>
      </c>
      <c r="F35" s="103"/>
      <c r="G35" s="67" t="s">
        <v>80</v>
      </c>
      <c r="H35" s="67" t="s">
        <v>81</v>
      </c>
      <c r="I35" s="67" t="s">
        <v>82</v>
      </c>
      <c r="J35" s="67" t="s">
        <v>75</v>
      </c>
    </row>
    <row r="36" spans="1:17" ht="21.95" customHeight="1" x14ac:dyDescent="0.3">
      <c r="A36" s="67" t="s">
        <v>83</v>
      </c>
      <c r="B36" s="67" t="s">
        <v>84</v>
      </c>
      <c r="C36" s="102" t="s">
        <v>85</v>
      </c>
      <c r="D36" s="103"/>
      <c r="E36" s="102" t="s">
        <v>86</v>
      </c>
      <c r="F36" s="103"/>
      <c r="G36" s="67" t="s">
        <v>80</v>
      </c>
      <c r="H36" s="67" t="s">
        <v>87</v>
      </c>
      <c r="I36" s="67" t="s">
        <v>88</v>
      </c>
      <c r="J36" s="67" t="s">
        <v>75</v>
      </c>
    </row>
    <row r="37" spans="1:17" ht="21.95" customHeight="1" x14ac:dyDescent="0.3">
      <c r="A37" s="67" t="s">
        <v>89</v>
      </c>
      <c r="B37" s="67" t="s">
        <v>90</v>
      </c>
      <c r="C37" s="102" t="s">
        <v>91</v>
      </c>
      <c r="D37" s="103"/>
      <c r="E37" s="102" t="s">
        <v>92</v>
      </c>
      <c r="F37" s="103"/>
      <c r="G37" s="67" t="s">
        <v>80</v>
      </c>
      <c r="H37" s="67" t="s">
        <v>93</v>
      </c>
      <c r="I37" s="67" t="s">
        <v>94</v>
      </c>
      <c r="J37" s="67" t="s">
        <v>75</v>
      </c>
    </row>
    <row r="38" spans="1:17" ht="21.95" customHeight="1" x14ac:dyDescent="0.3">
      <c r="A38" s="67" t="s">
        <v>95</v>
      </c>
      <c r="B38" s="67" t="s">
        <v>96</v>
      </c>
      <c r="C38" s="102" t="s">
        <v>97</v>
      </c>
      <c r="D38" s="103"/>
      <c r="E38" s="102" t="s">
        <v>98</v>
      </c>
      <c r="F38" s="103"/>
      <c r="G38" s="67" t="s">
        <v>80</v>
      </c>
      <c r="H38" s="67" t="s">
        <v>99</v>
      </c>
      <c r="I38" s="67" t="s">
        <v>100</v>
      </c>
      <c r="J38" s="67" t="s">
        <v>75</v>
      </c>
    </row>
    <row r="39" spans="1:17" ht="21.95" customHeight="1" x14ac:dyDescent="0.3">
      <c r="A39" s="67" t="s">
        <v>101</v>
      </c>
      <c r="B39" s="67" t="s">
        <v>102</v>
      </c>
      <c r="C39" s="102" t="s">
        <v>103</v>
      </c>
      <c r="D39" s="103"/>
      <c r="E39" s="102" t="s">
        <v>104</v>
      </c>
      <c r="F39" s="103"/>
      <c r="G39" s="67" t="s">
        <v>80</v>
      </c>
      <c r="H39" s="67" t="s">
        <v>105</v>
      </c>
      <c r="I39" s="67" t="s">
        <v>106</v>
      </c>
      <c r="J39" s="67" t="s">
        <v>75</v>
      </c>
    </row>
    <row r="40" spans="1:17" ht="21.95" customHeight="1" x14ac:dyDescent="0.3">
      <c r="A40" s="67" t="s">
        <v>107</v>
      </c>
      <c r="B40" s="67" t="s">
        <v>108</v>
      </c>
      <c r="C40" s="102" t="s">
        <v>109</v>
      </c>
      <c r="D40" s="103"/>
      <c r="E40" s="102" t="s">
        <v>110</v>
      </c>
      <c r="F40" s="103"/>
      <c r="G40" s="67" t="s">
        <v>80</v>
      </c>
      <c r="H40" s="67" t="s">
        <v>111</v>
      </c>
      <c r="I40" s="67" t="s">
        <v>112</v>
      </c>
      <c r="J40" s="67" t="s">
        <v>75</v>
      </c>
    </row>
    <row r="41" spans="1:17" ht="21.95" customHeight="1" x14ac:dyDescent="0.3">
      <c r="A41" s="67" t="s">
        <v>113</v>
      </c>
      <c r="B41" s="67" t="s">
        <v>114</v>
      </c>
      <c r="C41" s="102" t="s">
        <v>115</v>
      </c>
      <c r="D41" s="103"/>
      <c r="E41" s="102" t="s">
        <v>116</v>
      </c>
      <c r="F41" s="103"/>
      <c r="G41" s="67" t="s">
        <v>80</v>
      </c>
      <c r="H41" s="67" t="s">
        <v>117</v>
      </c>
      <c r="I41" s="67" t="s">
        <v>118</v>
      </c>
      <c r="J41" s="67" t="s">
        <v>75</v>
      </c>
    </row>
    <row r="42" spans="1:17" ht="19.899999999999999" customHeight="1" x14ac:dyDescent="0.3">
      <c r="A42" s="51"/>
      <c r="B42" s="51"/>
      <c r="C42" s="51"/>
      <c r="D42" s="51"/>
      <c r="E42" s="51"/>
      <c r="F42" s="51"/>
      <c r="G42" s="51"/>
      <c r="H42" s="51"/>
      <c r="I42" s="51"/>
      <c r="J42" s="51"/>
    </row>
    <row r="43" spans="1:17" ht="21.95" customHeight="1" x14ac:dyDescent="0.3">
      <c r="A43" s="92" t="s">
        <v>119</v>
      </c>
      <c r="B43" s="97"/>
      <c r="C43" s="97"/>
      <c r="D43" s="97"/>
      <c r="E43" s="97"/>
      <c r="F43" s="97"/>
      <c r="G43" s="97"/>
      <c r="H43" s="97"/>
      <c r="I43" s="97"/>
      <c r="J43" s="91"/>
    </row>
    <row r="44" spans="1:17" ht="51.95" customHeight="1" x14ac:dyDescent="0.3">
      <c r="A44" s="138" t="s">
        <v>120</v>
      </c>
      <c r="B44" s="103"/>
      <c r="C44" s="103"/>
      <c r="D44" s="103"/>
      <c r="E44" s="103"/>
      <c r="F44" s="103"/>
      <c r="G44" s="103"/>
      <c r="H44" s="103"/>
      <c r="I44" s="103"/>
      <c r="J44" s="103"/>
    </row>
    <row r="45" spans="1:17" ht="51.95" customHeight="1" x14ac:dyDescent="0.3">
      <c r="A45" s="103"/>
      <c r="B45" s="103"/>
      <c r="C45" s="103"/>
      <c r="D45" s="103"/>
      <c r="E45" s="103"/>
      <c r="F45" s="103"/>
      <c r="G45" s="103"/>
      <c r="H45" s="103"/>
      <c r="I45" s="103"/>
      <c r="J45" s="103"/>
    </row>
  </sheetData>
  <mergeCells count="103">
    <mergeCell ref="A44:J45"/>
    <mergeCell ref="C37:D37"/>
    <mergeCell ref="E37:F37"/>
    <mergeCell ref="A1:J1"/>
    <mergeCell ref="I12:J12"/>
    <mergeCell ref="D16:E16"/>
    <mergeCell ref="A2:B2"/>
    <mergeCell ref="B4:G4"/>
    <mergeCell ref="D18:E18"/>
    <mergeCell ref="F27:G27"/>
    <mergeCell ref="C39:D39"/>
    <mergeCell ref="H27:I27"/>
    <mergeCell ref="A20:B20"/>
    <mergeCell ref="A6:B6"/>
    <mergeCell ref="C35:D35"/>
    <mergeCell ref="D21:E21"/>
    <mergeCell ref="E35:F35"/>
    <mergeCell ref="A16:B16"/>
    <mergeCell ref="F24:G24"/>
    <mergeCell ref="G10:H10"/>
    <mergeCell ref="I22:J22"/>
    <mergeCell ref="A18:B18"/>
    <mergeCell ref="C38:D38"/>
    <mergeCell ref="I7:J8"/>
    <mergeCell ref="E41:F41"/>
    <mergeCell ref="A24:B24"/>
    <mergeCell ref="P29:Q29"/>
    <mergeCell ref="D7:E8"/>
    <mergeCell ref="C33:D33"/>
    <mergeCell ref="E33:F33"/>
    <mergeCell ref="P31:Q31"/>
    <mergeCell ref="B3:G3"/>
    <mergeCell ref="P30:Q30"/>
    <mergeCell ref="I10:J10"/>
    <mergeCell ref="F28:G30"/>
    <mergeCell ref="H28:I30"/>
    <mergeCell ref="H4:J4"/>
    <mergeCell ref="I19:J19"/>
    <mergeCell ref="D23:E23"/>
    <mergeCell ref="G9:H9"/>
    <mergeCell ref="I9:J9"/>
    <mergeCell ref="B7:C7"/>
    <mergeCell ref="G11:H11"/>
    <mergeCell ref="I11:J11"/>
    <mergeCell ref="F21:G21"/>
    <mergeCell ref="D27:E27"/>
    <mergeCell ref="C28:C30"/>
    <mergeCell ref="G13:H13"/>
    <mergeCell ref="D17:E17"/>
    <mergeCell ref="I21:J21"/>
    <mergeCell ref="A21:B21"/>
    <mergeCell ref="I23:J23"/>
    <mergeCell ref="F22:G22"/>
    <mergeCell ref="A23:B23"/>
    <mergeCell ref="D12:E12"/>
    <mergeCell ref="H3:J3"/>
    <mergeCell ref="A27:B27"/>
    <mergeCell ref="I18:J18"/>
    <mergeCell ref="E34:F34"/>
    <mergeCell ref="F23:G23"/>
    <mergeCell ref="P32:Q32"/>
    <mergeCell ref="C36:D36"/>
    <mergeCell ref="E36:F36"/>
    <mergeCell ref="A17:B17"/>
    <mergeCell ref="A22:B22"/>
    <mergeCell ref="I20:J20"/>
    <mergeCell ref="D24:E24"/>
    <mergeCell ref="A19:B19"/>
    <mergeCell ref="P33:Q33"/>
    <mergeCell ref="F7:F8"/>
    <mergeCell ref="I13:J13"/>
    <mergeCell ref="G12:H12"/>
    <mergeCell ref="A32:J32"/>
    <mergeCell ref="A28:B30"/>
    <mergeCell ref="D10:E10"/>
    <mergeCell ref="D19:E19"/>
    <mergeCell ref="F19:G19"/>
    <mergeCell ref="P34:Q34"/>
    <mergeCell ref="D11:E11"/>
    <mergeCell ref="D20:E20"/>
    <mergeCell ref="A15:B15"/>
    <mergeCell ref="F16:G16"/>
    <mergeCell ref="A7:A8"/>
    <mergeCell ref="D22:E22"/>
    <mergeCell ref="A43:J43"/>
    <mergeCell ref="I16:J16"/>
    <mergeCell ref="D13:E13"/>
    <mergeCell ref="C41:D41"/>
    <mergeCell ref="E38:F38"/>
    <mergeCell ref="F20:G20"/>
    <mergeCell ref="F18:G18"/>
    <mergeCell ref="C40:D40"/>
    <mergeCell ref="E40:F40"/>
    <mergeCell ref="F17:G17"/>
    <mergeCell ref="A26:B26"/>
    <mergeCell ref="I24:J24"/>
    <mergeCell ref="J28:J30"/>
    <mergeCell ref="D28:E30"/>
    <mergeCell ref="D9:E9"/>
    <mergeCell ref="I17:J17"/>
    <mergeCell ref="C34:D34"/>
    <mergeCell ref="E39:F39"/>
    <mergeCell ref="G7:H8"/>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5"/>
  <sheetViews>
    <sheetView tabSelected="1" workbookViewId="0">
      <pane ySplit="3" topLeftCell="A4" activePane="bottomLeft" state="frozen"/>
      <selection pane="bottomLeft" activeCell="A97" sqref="A97:H97"/>
    </sheetView>
  </sheetViews>
  <sheetFormatPr defaultRowHeight="16.5" x14ac:dyDescent="0.3"/>
  <cols>
    <col min="1" max="1" width="4.5" style="66" customWidth="1"/>
    <col min="2" max="2" width="10" style="66" customWidth="1"/>
    <col min="3" max="3" width="12" style="66" customWidth="1"/>
    <col min="4" max="4" width="17" style="66" customWidth="1"/>
    <col min="5" max="5" width="9" style="66" customWidth="1"/>
    <col min="6" max="7" width="8" style="66" customWidth="1"/>
    <col min="8" max="8" width="14" style="66" customWidth="1"/>
    <col min="9" max="9" width="16" style="66" customWidth="1"/>
    <col min="10" max="10" width="12" style="66" customWidth="1"/>
    <col min="11" max="11" width="52" style="66" customWidth="1"/>
    <col min="12" max="12" width="22" style="66" customWidth="1"/>
  </cols>
  <sheetData>
    <row r="1" spans="1:12" ht="26.25" x14ac:dyDescent="0.3">
      <c r="A1" s="143" t="s">
        <v>121</v>
      </c>
      <c r="B1" s="103"/>
      <c r="C1" s="103"/>
      <c r="D1" s="103"/>
      <c r="E1" s="103"/>
      <c r="F1" s="103"/>
      <c r="G1" s="103"/>
      <c r="H1" s="103"/>
      <c r="I1" s="103"/>
      <c r="J1" s="103"/>
      <c r="K1" s="103"/>
      <c r="L1" s="103"/>
    </row>
    <row r="2" spans="1:12" x14ac:dyDescent="0.3">
      <c r="A2" s="140" t="s">
        <v>122</v>
      </c>
      <c r="B2" s="103"/>
      <c r="C2" s="103"/>
      <c r="D2" s="103"/>
      <c r="E2" s="103"/>
      <c r="F2" s="103"/>
      <c r="G2" s="103"/>
      <c r="H2" s="103"/>
      <c r="I2" s="103"/>
      <c r="J2" s="103"/>
      <c r="K2" s="103"/>
      <c r="L2" s="103"/>
    </row>
    <row r="4" spans="1:12" x14ac:dyDescent="0.3">
      <c r="A4" s="141" t="s">
        <v>123</v>
      </c>
      <c r="B4" s="103"/>
      <c r="C4" s="103"/>
      <c r="D4" s="103"/>
      <c r="E4" s="103"/>
      <c r="F4" s="103"/>
      <c r="G4" s="103"/>
      <c r="H4" s="103"/>
      <c r="I4" s="103"/>
      <c r="J4" s="103"/>
      <c r="K4" s="103"/>
      <c r="L4" s="103"/>
    </row>
    <row r="5" spans="1:12" x14ac:dyDescent="0.3">
      <c r="A5" s="56" t="s">
        <v>124</v>
      </c>
      <c r="B5" s="56" t="s">
        <v>125</v>
      </c>
      <c r="C5" s="56" t="s">
        <v>126</v>
      </c>
      <c r="D5" s="56" t="s">
        <v>127</v>
      </c>
      <c r="E5" s="56" t="s">
        <v>2</v>
      </c>
      <c r="F5" s="56" t="s">
        <v>128</v>
      </c>
      <c r="G5" s="56" t="s">
        <v>129</v>
      </c>
      <c r="H5" s="56" t="s">
        <v>130</v>
      </c>
      <c r="I5" s="56" t="s">
        <v>131</v>
      </c>
      <c r="J5" s="56" t="s">
        <v>132</v>
      </c>
      <c r="K5" s="56" t="s">
        <v>133</v>
      </c>
      <c r="L5" s="56" t="s">
        <v>29</v>
      </c>
    </row>
    <row r="6" spans="1:12" ht="22.5" x14ac:dyDescent="0.3">
      <c r="A6" s="62">
        <v>1</v>
      </c>
      <c r="B6" s="62" t="s">
        <v>134</v>
      </c>
      <c r="C6" s="62" t="s">
        <v>135</v>
      </c>
      <c r="D6" s="62" t="s">
        <v>136</v>
      </c>
      <c r="E6" s="62" t="s">
        <v>137</v>
      </c>
      <c r="F6" s="62" t="s">
        <v>138</v>
      </c>
      <c r="G6" s="57">
        <v>173.57</v>
      </c>
      <c r="H6" s="57">
        <v>52.5</v>
      </c>
      <c r="I6" s="58">
        <v>52400</v>
      </c>
      <c r="J6" s="58">
        <v>998</v>
      </c>
      <c r="K6" s="62" t="s">
        <v>139</v>
      </c>
      <c r="L6" s="62" t="s">
        <v>140</v>
      </c>
    </row>
    <row r="7" spans="1:12" ht="22.5" x14ac:dyDescent="0.3">
      <c r="A7" s="62">
        <v>2</v>
      </c>
      <c r="B7" s="62" t="s">
        <v>141</v>
      </c>
      <c r="C7" s="62" t="s">
        <v>135</v>
      </c>
      <c r="D7" s="62" t="s">
        <v>136</v>
      </c>
      <c r="E7" s="62" t="s">
        <v>137</v>
      </c>
      <c r="F7" s="62" t="s">
        <v>142</v>
      </c>
      <c r="G7" s="57">
        <v>41.76</v>
      </c>
      <c r="H7" s="57">
        <v>12.63</v>
      </c>
      <c r="I7" s="58">
        <v>13400</v>
      </c>
      <c r="J7" s="58">
        <v>1061</v>
      </c>
      <c r="K7" s="62" t="s">
        <v>139</v>
      </c>
      <c r="L7" s="62" t="s">
        <v>140</v>
      </c>
    </row>
    <row r="8" spans="1:12" ht="22.5" x14ac:dyDescent="0.3">
      <c r="A8" s="62">
        <v>3</v>
      </c>
      <c r="B8" s="62" t="s">
        <v>141</v>
      </c>
      <c r="C8" s="62" t="s">
        <v>135</v>
      </c>
      <c r="D8" s="62" t="s">
        <v>136</v>
      </c>
      <c r="E8" s="62" t="s">
        <v>137</v>
      </c>
      <c r="F8" s="62" t="s">
        <v>143</v>
      </c>
      <c r="G8" s="57">
        <v>26.88</v>
      </c>
      <c r="H8" s="57">
        <v>8.1300000000000008</v>
      </c>
      <c r="I8" s="58">
        <v>8600</v>
      </c>
      <c r="J8" s="58">
        <v>1058</v>
      </c>
      <c r="K8" s="62" t="s">
        <v>139</v>
      </c>
      <c r="L8" s="62" t="s">
        <v>140</v>
      </c>
    </row>
    <row r="9" spans="1:12" ht="22.5" x14ac:dyDescent="0.3">
      <c r="A9" s="62">
        <v>4</v>
      </c>
      <c r="B9" s="62" t="s">
        <v>134</v>
      </c>
      <c r="C9" s="62" t="s">
        <v>135</v>
      </c>
      <c r="D9" s="62" t="s">
        <v>136</v>
      </c>
      <c r="E9" s="62" t="s">
        <v>144</v>
      </c>
      <c r="F9" s="62" t="s">
        <v>145</v>
      </c>
      <c r="G9" s="57">
        <v>189.54</v>
      </c>
      <c r="H9" s="57">
        <v>57.34</v>
      </c>
      <c r="I9" s="58">
        <v>57200</v>
      </c>
      <c r="J9" s="58">
        <v>998</v>
      </c>
      <c r="K9" s="62" t="s">
        <v>139</v>
      </c>
      <c r="L9" s="62" t="s">
        <v>140</v>
      </c>
    </row>
    <row r="10" spans="1:12" x14ac:dyDescent="0.3">
      <c r="A10" s="62">
        <v>5</v>
      </c>
      <c r="B10" s="62" t="s">
        <v>141</v>
      </c>
      <c r="C10" s="62" t="s">
        <v>146</v>
      </c>
      <c r="D10" s="62" t="s">
        <v>147</v>
      </c>
      <c r="E10" s="62" t="s">
        <v>148</v>
      </c>
      <c r="F10" s="62" t="s">
        <v>149</v>
      </c>
      <c r="G10" s="57">
        <v>28.56</v>
      </c>
      <c r="H10" s="57">
        <v>8.64</v>
      </c>
      <c r="I10" s="58">
        <v>10000</v>
      </c>
      <c r="J10" s="58">
        <v>1157</v>
      </c>
      <c r="K10" s="62" t="s">
        <v>139</v>
      </c>
      <c r="L10" s="62" t="s">
        <v>150</v>
      </c>
    </row>
    <row r="11" spans="1:12" ht="22.5" x14ac:dyDescent="0.3">
      <c r="A11" s="62">
        <v>6</v>
      </c>
      <c r="B11" s="62" t="s">
        <v>141</v>
      </c>
      <c r="C11" s="62" t="s">
        <v>151</v>
      </c>
      <c r="D11" s="62" t="s">
        <v>152</v>
      </c>
      <c r="E11" s="62" t="s">
        <v>137</v>
      </c>
      <c r="F11" s="62" t="s">
        <v>145</v>
      </c>
      <c r="G11" s="57">
        <v>36.32</v>
      </c>
      <c r="H11" s="57">
        <v>10.99</v>
      </c>
      <c r="I11" s="58">
        <v>67000</v>
      </c>
      <c r="J11" s="58">
        <v>6098</v>
      </c>
      <c r="K11" s="62" t="s">
        <v>139</v>
      </c>
      <c r="L11" s="62" t="s">
        <v>153</v>
      </c>
    </row>
    <row r="12" spans="1:12" ht="22.5" x14ac:dyDescent="0.3">
      <c r="A12" s="62">
        <v>7</v>
      </c>
      <c r="B12" s="62" t="s">
        <v>141</v>
      </c>
      <c r="C12" s="62" t="s">
        <v>154</v>
      </c>
      <c r="D12" s="62" t="s">
        <v>155</v>
      </c>
      <c r="E12" s="62" t="s">
        <v>137</v>
      </c>
      <c r="F12" s="62" t="s">
        <v>72</v>
      </c>
      <c r="G12" s="57">
        <v>50.46</v>
      </c>
      <c r="H12" s="57">
        <v>15.26</v>
      </c>
      <c r="I12" s="58">
        <v>8500</v>
      </c>
      <c r="J12" s="58">
        <v>557</v>
      </c>
      <c r="K12" s="62" t="s">
        <v>139</v>
      </c>
      <c r="L12" s="62" t="s">
        <v>156</v>
      </c>
    </row>
    <row r="13" spans="1:12" ht="22.5" x14ac:dyDescent="0.3">
      <c r="A13" s="62">
        <v>8</v>
      </c>
      <c r="B13" s="62" t="s">
        <v>141</v>
      </c>
      <c r="C13" s="62" t="s">
        <v>157</v>
      </c>
      <c r="D13" s="62" t="s">
        <v>158</v>
      </c>
      <c r="E13" s="62" t="s">
        <v>137</v>
      </c>
      <c r="F13" s="62" t="s">
        <v>145</v>
      </c>
      <c r="G13" s="57">
        <v>38.700000000000003</v>
      </c>
      <c r="H13" s="57">
        <v>11.71</v>
      </c>
      <c r="I13" s="58">
        <v>40000</v>
      </c>
      <c r="J13" s="58">
        <v>3417</v>
      </c>
      <c r="K13" s="62" t="s">
        <v>159</v>
      </c>
      <c r="L13" s="62" t="s">
        <v>160</v>
      </c>
    </row>
    <row r="14" spans="1:12" ht="22.5" x14ac:dyDescent="0.3">
      <c r="A14" s="62">
        <v>9</v>
      </c>
      <c r="B14" s="62" t="s">
        <v>141</v>
      </c>
      <c r="C14" s="62" t="s">
        <v>161</v>
      </c>
      <c r="D14" s="62" t="s">
        <v>158</v>
      </c>
      <c r="E14" s="62" t="s">
        <v>144</v>
      </c>
      <c r="F14" s="62" t="s">
        <v>72</v>
      </c>
      <c r="G14" s="57">
        <v>38.700000000000003</v>
      </c>
      <c r="H14" s="57">
        <v>11.71</v>
      </c>
      <c r="I14" s="58">
        <v>19000</v>
      </c>
      <c r="J14" s="58">
        <v>1623</v>
      </c>
      <c r="K14" s="62" t="s">
        <v>159</v>
      </c>
      <c r="L14" s="62" t="s">
        <v>160</v>
      </c>
    </row>
    <row r="15" spans="1:12" ht="22.5" x14ac:dyDescent="0.3">
      <c r="A15" s="62">
        <v>10</v>
      </c>
      <c r="B15" s="62" t="s">
        <v>134</v>
      </c>
      <c r="C15" s="62" t="s">
        <v>162</v>
      </c>
      <c r="D15" s="62" t="s">
        <v>163</v>
      </c>
      <c r="E15" s="62" t="s">
        <v>137</v>
      </c>
      <c r="F15" s="62" t="s">
        <v>72</v>
      </c>
      <c r="G15" s="57">
        <v>175.62</v>
      </c>
      <c r="H15" s="57">
        <v>53.12</v>
      </c>
      <c r="I15" s="58">
        <v>40620</v>
      </c>
      <c r="J15" s="58">
        <v>765</v>
      </c>
      <c r="K15" s="62" t="s">
        <v>139</v>
      </c>
      <c r="L15" s="62" t="s">
        <v>164</v>
      </c>
    </row>
    <row r="16" spans="1:12" x14ac:dyDescent="0.3">
      <c r="A16" s="62">
        <v>11</v>
      </c>
      <c r="B16" s="62" t="s">
        <v>141</v>
      </c>
      <c r="C16" s="62" t="s">
        <v>165</v>
      </c>
      <c r="D16" s="62" t="s">
        <v>166</v>
      </c>
      <c r="E16" s="62" t="s">
        <v>167</v>
      </c>
      <c r="F16" s="62" t="s">
        <v>168</v>
      </c>
      <c r="G16" s="57">
        <v>40.200000000000003</v>
      </c>
      <c r="H16" s="57">
        <v>12.16</v>
      </c>
      <c r="I16" s="58">
        <v>8000</v>
      </c>
      <c r="J16" s="58">
        <v>658</v>
      </c>
      <c r="K16" s="62" t="s">
        <v>139</v>
      </c>
      <c r="L16" s="62" t="s">
        <v>169</v>
      </c>
    </row>
    <row r="17" spans="1:12" ht="22.5" x14ac:dyDescent="0.3">
      <c r="A17" s="62">
        <v>12</v>
      </c>
      <c r="B17" s="62" t="s">
        <v>141</v>
      </c>
      <c r="C17" s="62" t="s">
        <v>170</v>
      </c>
      <c r="D17" s="62" t="s">
        <v>171</v>
      </c>
      <c r="E17" s="62" t="s">
        <v>144</v>
      </c>
      <c r="F17" s="62" t="s">
        <v>145</v>
      </c>
      <c r="G17" s="57">
        <v>32.76</v>
      </c>
      <c r="H17" s="57">
        <v>9.91</v>
      </c>
      <c r="I17" s="58">
        <v>25000</v>
      </c>
      <c r="J17" s="58">
        <v>2523</v>
      </c>
      <c r="K17" s="62" t="s">
        <v>159</v>
      </c>
      <c r="L17" s="62" t="s">
        <v>172</v>
      </c>
    </row>
    <row r="18" spans="1:12" ht="22.5" x14ac:dyDescent="0.3">
      <c r="A18" s="62">
        <v>13</v>
      </c>
      <c r="B18" s="62" t="s">
        <v>141</v>
      </c>
      <c r="C18" s="62" t="s">
        <v>173</v>
      </c>
      <c r="D18" s="62" t="s">
        <v>174</v>
      </c>
      <c r="E18" s="62" t="s">
        <v>144</v>
      </c>
      <c r="F18" s="62" t="s">
        <v>145</v>
      </c>
      <c r="G18" s="57">
        <v>30.6</v>
      </c>
      <c r="H18" s="57">
        <v>9.26</v>
      </c>
      <c r="I18" s="58">
        <v>37500</v>
      </c>
      <c r="J18" s="58">
        <v>4051</v>
      </c>
      <c r="K18" s="62" t="s">
        <v>159</v>
      </c>
      <c r="L18" s="62" t="s">
        <v>175</v>
      </c>
    </row>
    <row r="19" spans="1:12" ht="22.5" x14ac:dyDescent="0.3">
      <c r="A19" s="62">
        <v>14</v>
      </c>
      <c r="B19" s="62" t="s">
        <v>141</v>
      </c>
      <c r="C19" s="62" t="s">
        <v>176</v>
      </c>
      <c r="D19" s="62" t="s">
        <v>177</v>
      </c>
      <c r="E19" s="62" t="s">
        <v>144</v>
      </c>
      <c r="F19" s="62" t="s">
        <v>72</v>
      </c>
      <c r="G19" s="57">
        <v>31.36</v>
      </c>
      <c r="H19" s="57">
        <v>9.49</v>
      </c>
      <c r="I19" s="58">
        <v>10000</v>
      </c>
      <c r="J19" s="58">
        <v>1054</v>
      </c>
      <c r="K19" s="62" t="s">
        <v>139</v>
      </c>
      <c r="L19" s="62" t="s">
        <v>178</v>
      </c>
    </row>
    <row r="20" spans="1:12" ht="22.5" x14ac:dyDescent="0.3">
      <c r="A20" s="62">
        <v>15</v>
      </c>
      <c r="B20" s="62" t="s">
        <v>141</v>
      </c>
      <c r="C20" s="62" t="s">
        <v>179</v>
      </c>
      <c r="D20" s="62" t="s">
        <v>180</v>
      </c>
      <c r="E20" s="62" t="s">
        <v>144</v>
      </c>
      <c r="F20" s="62" t="s">
        <v>145</v>
      </c>
      <c r="G20" s="57">
        <v>28.8</v>
      </c>
      <c r="H20" s="57">
        <v>8.7100000000000009</v>
      </c>
      <c r="I20" s="58">
        <v>31800</v>
      </c>
      <c r="J20" s="58">
        <v>3650</v>
      </c>
      <c r="K20" s="62" t="s">
        <v>159</v>
      </c>
      <c r="L20" s="62" t="s">
        <v>181</v>
      </c>
    </row>
    <row r="21" spans="1:12" ht="22.5" x14ac:dyDescent="0.3">
      <c r="A21" s="62">
        <v>16</v>
      </c>
      <c r="B21" s="62" t="s">
        <v>141</v>
      </c>
      <c r="C21" s="62" t="s">
        <v>182</v>
      </c>
      <c r="D21" s="62" t="s">
        <v>183</v>
      </c>
      <c r="E21" s="62" t="s">
        <v>137</v>
      </c>
      <c r="F21" s="62" t="s">
        <v>145</v>
      </c>
      <c r="G21" s="57">
        <v>11.9</v>
      </c>
      <c r="H21" s="57">
        <v>3.6</v>
      </c>
      <c r="I21" s="58">
        <v>3000</v>
      </c>
      <c r="J21" s="58">
        <v>833</v>
      </c>
      <c r="K21" s="62" t="s">
        <v>159</v>
      </c>
      <c r="L21" s="62" t="s">
        <v>184</v>
      </c>
    </row>
    <row r="22" spans="1:12" ht="22.5" x14ac:dyDescent="0.3">
      <c r="A22" s="62">
        <v>17</v>
      </c>
      <c r="B22" s="62" t="s">
        <v>141</v>
      </c>
      <c r="C22" s="62" t="s">
        <v>185</v>
      </c>
      <c r="D22" s="62" t="s">
        <v>186</v>
      </c>
      <c r="E22" s="62" t="s">
        <v>144</v>
      </c>
      <c r="F22" s="62" t="s">
        <v>145</v>
      </c>
      <c r="G22" s="57">
        <v>78.66</v>
      </c>
      <c r="H22" s="57">
        <v>23.79</v>
      </c>
      <c r="I22" s="58">
        <v>32500</v>
      </c>
      <c r="J22" s="58">
        <v>1366</v>
      </c>
      <c r="K22" s="62" t="s">
        <v>159</v>
      </c>
      <c r="L22" s="62" t="s">
        <v>187</v>
      </c>
    </row>
    <row r="23" spans="1:12" ht="22.5" x14ac:dyDescent="0.3">
      <c r="A23" s="62">
        <v>18</v>
      </c>
      <c r="B23" s="62" t="s">
        <v>141</v>
      </c>
      <c r="C23" s="62" t="s">
        <v>188</v>
      </c>
      <c r="D23" s="62" t="s">
        <v>189</v>
      </c>
      <c r="E23" s="62" t="s">
        <v>144</v>
      </c>
      <c r="F23" s="62" t="s">
        <v>145</v>
      </c>
      <c r="G23" s="57">
        <v>8.91</v>
      </c>
      <c r="H23" s="57">
        <v>2.7</v>
      </c>
      <c r="I23" s="58">
        <v>500</v>
      </c>
      <c r="J23" s="58">
        <v>186</v>
      </c>
      <c r="K23" s="62" t="s">
        <v>159</v>
      </c>
      <c r="L23" s="62" t="s">
        <v>190</v>
      </c>
    </row>
    <row r="24" spans="1:12" ht="22.5" x14ac:dyDescent="0.3">
      <c r="A24" s="62">
        <v>19</v>
      </c>
      <c r="B24" s="62" t="s">
        <v>141</v>
      </c>
      <c r="C24" s="62" t="s">
        <v>191</v>
      </c>
      <c r="D24" s="62" t="s">
        <v>192</v>
      </c>
      <c r="E24" s="62" t="s">
        <v>144</v>
      </c>
      <c r="F24" s="62" t="s">
        <v>145</v>
      </c>
      <c r="G24" s="57">
        <v>33.54</v>
      </c>
      <c r="H24" s="57">
        <v>10.15</v>
      </c>
      <c r="I24" s="58">
        <v>13000</v>
      </c>
      <c r="J24" s="58">
        <v>1281</v>
      </c>
      <c r="K24" s="62" t="s">
        <v>159</v>
      </c>
      <c r="L24" s="62" t="s">
        <v>193</v>
      </c>
    </row>
    <row r="25" spans="1:12" ht="22.5" x14ac:dyDescent="0.3">
      <c r="A25" s="62">
        <v>20</v>
      </c>
      <c r="B25" s="62" t="s">
        <v>141</v>
      </c>
      <c r="C25" s="62" t="s">
        <v>194</v>
      </c>
      <c r="D25" s="62" t="s">
        <v>195</v>
      </c>
      <c r="E25" s="62" t="s">
        <v>144</v>
      </c>
      <c r="F25" s="62" t="s">
        <v>72</v>
      </c>
      <c r="G25" s="57">
        <v>82.67</v>
      </c>
      <c r="H25" s="57">
        <v>25.01</v>
      </c>
      <c r="I25" s="58">
        <v>35000</v>
      </c>
      <c r="J25" s="58">
        <v>1400</v>
      </c>
      <c r="K25" s="62" t="s">
        <v>159</v>
      </c>
      <c r="L25" s="62" t="s">
        <v>196</v>
      </c>
    </row>
    <row r="26" spans="1:12" ht="22.5" x14ac:dyDescent="0.3">
      <c r="A26" s="62">
        <v>21</v>
      </c>
      <c r="B26" s="62" t="s">
        <v>134</v>
      </c>
      <c r="C26" s="62" t="s">
        <v>197</v>
      </c>
      <c r="D26" s="62" t="s">
        <v>198</v>
      </c>
      <c r="E26" s="62" t="s">
        <v>144</v>
      </c>
      <c r="F26" s="62" t="s">
        <v>72</v>
      </c>
      <c r="G26" s="57">
        <v>319.14999999999998</v>
      </c>
      <c r="H26" s="57">
        <v>96.54</v>
      </c>
      <c r="I26" s="58">
        <v>7000</v>
      </c>
      <c r="J26" s="58">
        <v>73</v>
      </c>
      <c r="K26" s="62" t="s">
        <v>159</v>
      </c>
      <c r="L26" s="62" t="s">
        <v>199</v>
      </c>
    </row>
    <row r="27" spans="1:12" ht="22.5" x14ac:dyDescent="0.3">
      <c r="A27" s="62">
        <v>22</v>
      </c>
      <c r="B27" s="62" t="s">
        <v>141</v>
      </c>
      <c r="C27" s="62" t="s">
        <v>200</v>
      </c>
      <c r="D27" s="62" t="s">
        <v>201</v>
      </c>
      <c r="E27" s="62" t="s">
        <v>137</v>
      </c>
      <c r="F27" s="62" t="s">
        <v>145</v>
      </c>
      <c r="G27" s="57">
        <v>59.3</v>
      </c>
      <c r="H27" s="57">
        <v>17.940000000000001</v>
      </c>
      <c r="I27" s="58">
        <v>24000</v>
      </c>
      <c r="J27" s="58">
        <v>1338</v>
      </c>
      <c r="K27" s="62" t="s">
        <v>159</v>
      </c>
      <c r="L27" s="62" t="s">
        <v>202</v>
      </c>
    </row>
    <row r="28" spans="1:12" ht="22.5" x14ac:dyDescent="0.3">
      <c r="A28" s="62">
        <v>23</v>
      </c>
      <c r="B28" s="62" t="s">
        <v>134</v>
      </c>
      <c r="C28" s="62" t="s">
        <v>203</v>
      </c>
      <c r="D28" s="62" t="s">
        <v>204</v>
      </c>
      <c r="E28" s="62" t="s">
        <v>144</v>
      </c>
      <c r="F28" s="62" t="s">
        <v>205</v>
      </c>
      <c r="G28" s="57">
        <v>186.92</v>
      </c>
      <c r="H28" s="57">
        <v>56.54</v>
      </c>
      <c r="I28" s="58">
        <v>47357</v>
      </c>
      <c r="J28" s="58">
        <v>838</v>
      </c>
      <c r="K28" s="62" t="s">
        <v>206</v>
      </c>
      <c r="L28" s="62" t="s">
        <v>207</v>
      </c>
    </row>
    <row r="29" spans="1:12" ht="22.5" x14ac:dyDescent="0.3">
      <c r="A29" s="62">
        <v>24</v>
      </c>
      <c r="B29" s="62" t="s">
        <v>141</v>
      </c>
      <c r="C29" s="62" t="s">
        <v>208</v>
      </c>
      <c r="D29" s="62" t="s">
        <v>209</v>
      </c>
      <c r="E29" s="62" t="s">
        <v>144</v>
      </c>
      <c r="F29" s="62" t="s">
        <v>145</v>
      </c>
      <c r="G29" s="57">
        <v>70.47</v>
      </c>
      <c r="H29" s="57">
        <v>21.32</v>
      </c>
      <c r="I29" s="58">
        <v>31000</v>
      </c>
      <c r="J29" s="58">
        <v>1454</v>
      </c>
      <c r="K29" s="62" t="s">
        <v>159</v>
      </c>
      <c r="L29" s="62" t="s">
        <v>210</v>
      </c>
    </row>
    <row r="30" spans="1:12" ht="22.5" x14ac:dyDescent="0.3">
      <c r="A30" s="62">
        <v>25</v>
      </c>
      <c r="B30" s="62" t="s">
        <v>141</v>
      </c>
      <c r="C30" s="62" t="s">
        <v>211</v>
      </c>
      <c r="D30" s="62" t="s">
        <v>212</v>
      </c>
      <c r="E30" s="62" t="s">
        <v>137</v>
      </c>
      <c r="F30" s="62" t="s">
        <v>142</v>
      </c>
      <c r="G30" s="57">
        <v>95.78</v>
      </c>
      <c r="H30" s="57">
        <v>28.97</v>
      </c>
      <c r="I30" s="58">
        <v>14200</v>
      </c>
      <c r="J30" s="58">
        <v>490</v>
      </c>
      <c r="K30" s="62" t="s">
        <v>159</v>
      </c>
      <c r="L30" s="62" t="s">
        <v>213</v>
      </c>
    </row>
    <row r="31" spans="1:12" x14ac:dyDescent="0.3">
      <c r="A31" s="142" t="s">
        <v>214</v>
      </c>
      <c r="B31" s="97"/>
      <c r="C31" s="97"/>
      <c r="D31" s="97"/>
      <c r="E31" s="97"/>
      <c r="F31" s="97"/>
      <c r="G31" s="97"/>
      <c r="H31" s="91"/>
      <c r="I31" s="59">
        <f>IFERROR(AVERAGE(I6:I30),0)</f>
        <v>25463.08</v>
      </c>
      <c r="J31" s="59">
        <f>IFERROR(AVERAGE(J6:J30),0)</f>
        <v>1557.08</v>
      </c>
      <c r="K31" s="76"/>
      <c r="L31" s="76"/>
    </row>
    <row r="33" spans="1:12" x14ac:dyDescent="0.3">
      <c r="A33" s="141" t="s">
        <v>215</v>
      </c>
      <c r="B33" s="103"/>
      <c r="C33" s="103"/>
      <c r="D33" s="103"/>
      <c r="E33" s="103"/>
      <c r="F33" s="103"/>
      <c r="G33" s="103"/>
      <c r="H33" s="103"/>
      <c r="I33" s="103"/>
      <c r="J33" s="103"/>
      <c r="K33" s="103"/>
      <c r="L33" s="103"/>
    </row>
    <row r="34" spans="1:12" x14ac:dyDescent="0.3">
      <c r="A34" s="56" t="s">
        <v>124</v>
      </c>
      <c r="B34" s="56" t="s">
        <v>125</v>
      </c>
      <c r="C34" s="56" t="s">
        <v>25</v>
      </c>
      <c r="D34" s="56" t="s">
        <v>127</v>
      </c>
      <c r="E34" s="56" t="s">
        <v>128</v>
      </c>
      <c r="F34" s="56" t="s">
        <v>129</v>
      </c>
      <c r="G34" s="56" t="s">
        <v>130</v>
      </c>
      <c r="H34" s="56" t="s">
        <v>216</v>
      </c>
      <c r="I34" s="56" t="s">
        <v>217</v>
      </c>
      <c r="J34" s="56" t="s">
        <v>218</v>
      </c>
      <c r="K34" s="56" t="s">
        <v>219</v>
      </c>
      <c r="L34" s="56" t="s">
        <v>29</v>
      </c>
    </row>
    <row r="35" spans="1:12" ht="409.5" x14ac:dyDescent="0.3">
      <c r="A35" s="62">
        <v>1</v>
      </c>
      <c r="B35" s="62" t="s">
        <v>220</v>
      </c>
      <c r="C35" s="62" t="s">
        <v>221</v>
      </c>
      <c r="D35" s="62" t="s">
        <v>222</v>
      </c>
      <c r="E35" s="62" t="s">
        <v>223</v>
      </c>
      <c r="F35" s="57">
        <v>140</v>
      </c>
      <c r="G35" s="57">
        <v>42.35</v>
      </c>
      <c r="H35" s="62" t="s">
        <v>224</v>
      </c>
      <c r="I35" s="62" t="s">
        <v>72</v>
      </c>
      <c r="J35" s="62" t="s">
        <v>225</v>
      </c>
      <c r="K35" s="63" t="s">
        <v>226</v>
      </c>
      <c r="L35" s="62" t="s">
        <v>227</v>
      </c>
    </row>
    <row r="36" spans="1:12" ht="213.75" x14ac:dyDescent="0.3">
      <c r="A36" s="62">
        <v>2</v>
      </c>
      <c r="B36" s="62" t="s">
        <v>220</v>
      </c>
      <c r="C36" s="62" t="s">
        <v>228</v>
      </c>
      <c r="D36" s="62" t="s">
        <v>229</v>
      </c>
      <c r="E36" s="62" t="s">
        <v>230</v>
      </c>
      <c r="F36" s="57">
        <v>3710</v>
      </c>
      <c r="G36" s="57">
        <v>1122.27</v>
      </c>
      <c r="H36" s="62" t="s">
        <v>231</v>
      </c>
      <c r="I36" s="62" t="s">
        <v>72</v>
      </c>
      <c r="J36" s="62" t="s">
        <v>232</v>
      </c>
      <c r="K36" s="63" t="s">
        <v>233</v>
      </c>
      <c r="L36" s="62" t="s">
        <v>234</v>
      </c>
    </row>
    <row r="37" spans="1:12" ht="409.5" x14ac:dyDescent="0.3">
      <c r="A37" s="62">
        <v>3</v>
      </c>
      <c r="B37" s="62" t="s">
        <v>220</v>
      </c>
      <c r="C37" s="62" t="s">
        <v>221</v>
      </c>
      <c r="D37" s="62" t="s">
        <v>235</v>
      </c>
      <c r="E37" s="62" t="s">
        <v>236</v>
      </c>
      <c r="F37" s="57">
        <v>1250</v>
      </c>
      <c r="G37" s="57">
        <v>378.12</v>
      </c>
      <c r="H37" s="62" t="s">
        <v>237</v>
      </c>
      <c r="I37" s="62" t="s">
        <v>72</v>
      </c>
      <c r="J37" s="62" t="s">
        <v>238</v>
      </c>
      <c r="K37" s="63" t="s">
        <v>239</v>
      </c>
      <c r="L37" s="62" t="s">
        <v>240</v>
      </c>
    </row>
    <row r="38" spans="1:12" ht="409.5" x14ac:dyDescent="0.3">
      <c r="A38" s="62">
        <v>4</v>
      </c>
      <c r="B38" s="62" t="s">
        <v>220</v>
      </c>
      <c r="C38" s="62" t="s">
        <v>241</v>
      </c>
      <c r="D38" s="62" t="s">
        <v>242</v>
      </c>
      <c r="E38" s="62" t="s">
        <v>243</v>
      </c>
      <c r="F38" s="57">
        <v>505</v>
      </c>
      <c r="G38" s="57">
        <v>152.76</v>
      </c>
      <c r="H38" s="62" t="s">
        <v>244</v>
      </c>
      <c r="I38" s="62" t="s">
        <v>72</v>
      </c>
      <c r="J38" s="62" t="s">
        <v>245</v>
      </c>
      <c r="K38" s="63" t="s">
        <v>246</v>
      </c>
      <c r="L38" s="62" t="s">
        <v>247</v>
      </c>
    </row>
    <row r="39" spans="1:12" ht="78.75" x14ac:dyDescent="0.3">
      <c r="A39" s="62">
        <v>5</v>
      </c>
      <c r="B39" s="62" t="s">
        <v>220</v>
      </c>
      <c r="C39" s="62" t="s">
        <v>228</v>
      </c>
      <c r="D39" s="62" t="s">
        <v>248</v>
      </c>
      <c r="E39" s="62" t="s">
        <v>249</v>
      </c>
      <c r="F39" s="57">
        <v>2201</v>
      </c>
      <c r="G39" s="57">
        <v>665.8</v>
      </c>
      <c r="H39" s="62" t="s">
        <v>250</v>
      </c>
      <c r="I39" s="62" t="s">
        <v>72</v>
      </c>
      <c r="J39" s="62" t="s">
        <v>251</v>
      </c>
      <c r="K39" s="63" t="s">
        <v>252</v>
      </c>
      <c r="L39" s="62" t="s">
        <v>253</v>
      </c>
    </row>
    <row r="40" spans="1:12" ht="303.75" x14ac:dyDescent="0.3">
      <c r="A40" s="62">
        <v>6</v>
      </c>
      <c r="B40" s="62" t="s">
        <v>220</v>
      </c>
      <c r="C40" s="62" t="s">
        <v>221</v>
      </c>
      <c r="D40" s="62" t="s">
        <v>254</v>
      </c>
      <c r="E40" s="62" t="s">
        <v>255</v>
      </c>
      <c r="F40" s="57">
        <v>1144</v>
      </c>
      <c r="G40" s="57">
        <v>346.06</v>
      </c>
      <c r="H40" s="62" t="s">
        <v>256</v>
      </c>
      <c r="I40" s="62" t="s">
        <v>72</v>
      </c>
      <c r="J40" s="62" t="s">
        <v>257</v>
      </c>
      <c r="K40" s="63" t="s">
        <v>258</v>
      </c>
      <c r="L40" s="62" t="s">
        <v>259</v>
      </c>
    </row>
    <row r="41" spans="1:12" ht="409.5" x14ac:dyDescent="0.3">
      <c r="A41" s="62">
        <v>7</v>
      </c>
      <c r="B41" s="62" t="s">
        <v>220</v>
      </c>
      <c r="C41" s="62" t="s">
        <v>260</v>
      </c>
      <c r="D41" s="62" t="s">
        <v>261</v>
      </c>
      <c r="E41" s="62" t="s">
        <v>262</v>
      </c>
      <c r="F41" s="57">
        <v>1710</v>
      </c>
      <c r="G41" s="57">
        <v>517.27</v>
      </c>
      <c r="H41" s="62" t="s">
        <v>263</v>
      </c>
      <c r="I41" s="62" t="s">
        <v>72</v>
      </c>
      <c r="J41" s="62" t="s">
        <v>264</v>
      </c>
      <c r="K41" s="63" t="s">
        <v>265</v>
      </c>
      <c r="L41" s="62" t="s">
        <v>266</v>
      </c>
    </row>
    <row r="42" spans="1:12" ht="168.75" x14ac:dyDescent="0.3">
      <c r="A42" s="62">
        <v>8</v>
      </c>
      <c r="B42" s="62" t="s">
        <v>220</v>
      </c>
      <c r="C42" s="62" t="s">
        <v>260</v>
      </c>
      <c r="D42" s="62" t="s">
        <v>267</v>
      </c>
      <c r="E42" s="62" t="s">
        <v>268</v>
      </c>
      <c r="F42" s="57">
        <v>690</v>
      </c>
      <c r="G42" s="57">
        <v>208.72</v>
      </c>
      <c r="H42" s="62" t="s">
        <v>269</v>
      </c>
      <c r="I42" s="62" t="s">
        <v>72</v>
      </c>
      <c r="J42" s="62" t="s">
        <v>270</v>
      </c>
      <c r="K42" s="63" t="s">
        <v>271</v>
      </c>
      <c r="L42" s="62" t="s">
        <v>272</v>
      </c>
    </row>
    <row r="43" spans="1:12" ht="168.75" x14ac:dyDescent="0.3">
      <c r="A43" s="62">
        <v>9</v>
      </c>
      <c r="B43" s="62" t="s">
        <v>220</v>
      </c>
      <c r="C43" s="62" t="s">
        <v>221</v>
      </c>
      <c r="D43" s="62" t="s">
        <v>273</v>
      </c>
      <c r="E43" s="62" t="s">
        <v>274</v>
      </c>
      <c r="F43" s="57">
        <v>998</v>
      </c>
      <c r="G43" s="57">
        <v>301.89</v>
      </c>
      <c r="H43" s="62" t="s">
        <v>275</v>
      </c>
      <c r="I43" s="62" t="s">
        <v>72</v>
      </c>
      <c r="J43" s="62" t="s">
        <v>276</v>
      </c>
      <c r="K43" s="63" t="s">
        <v>277</v>
      </c>
      <c r="L43" s="62" t="s">
        <v>278</v>
      </c>
    </row>
    <row r="44" spans="1:12" ht="101.25" x14ac:dyDescent="0.3">
      <c r="A44" s="62">
        <v>10</v>
      </c>
      <c r="B44" s="62" t="s">
        <v>220</v>
      </c>
      <c r="C44" s="62" t="s">
        <v>279</v>
      </c>
      <c r="D44" s="62" t="s">
        <v>280</v>
      </c>
      <c r="E44" s="62" t="s">
        <v>281</v>
      </c>
      <c r="F44" s="57">
        <v>1581</v>
      </c>
      <c r="G44" s="57">
        <v>478.25</v>
      </c>
      <c r="H44" s="62" t="s">
        <v>282</v>
      </c>
      <c r="I44" s="62" t="s">
        <v>72</v>
      </c>
      <c r="J44" s="62" t="s">
        <v>283</v>
      </c>
      <c r="K44" s="63" t="s">
        <v>284</v>
      </c>
      <c r="L44" s="62" t="s">
        <v>285</v>
      </c>
    </row>
    <row r="45" spans="1:12" ht="236.25" x14ac:dyDescent="0.3">
      <c r="A45" s="62">
        <v>11</v>
      </c>
      <c r="B45" s="62" t="s">
        <v>220</v>
      </c>
      <c r="C45" s="62" t="s">
        <v>241</v>
      </c>
      <c r="D45" s="62" t="s">
        <v>286</v>
      </c>
      <c r="E45" s="62" t="s">
        <v>287</v>
      </c>
      <c r="F45" s="57">
        <v>495</v>
      </c>
      <c r="G45" s="57">
        <v>149.74</v>
      </c>
      <c r="H45" s="62" t="s">
        <v>288</v>
      </c>
      <c r="I45" s="62" t="s">
        <v>72</v>
      </c>
      <c r="J45" s="62" t="s">
        <v>289</v>
      </c>
      <c r="K45" s="63" t="s">
        <v>290</v>
      </c>
      <c r="L45" s="62" t="s">
        <v>291</v>
      </c>
    </row>
    <row r="46" spans="1:12" ht="409.5" x14ac:dyDescent="0.3">
      <c r="A46" s="62">
        <v>12</v>
      </c>
      <c r="B46" s="62" t="s">
        <v>220</v>
      </c>
      <c r="C46" s="62" t="s">
        <v>292</v>
      </c>
      <c r="D46" s="62" t="s">
        <v>293</v>
      </c>
      <c r="E46" s="62" t="s">
        <v>294</v>
      </c>
      <c r="F46" s="57">
        <v>602</v>
      </c>
      <c r="G46" s="57">
        <v>182.1</v>
      </c>
      <c r="H46" s="62" t="s">
        <v>295</v>
      </c>
      <c r="I46" s="62" t="s">
        <v>72</v>
      </c>
      <c r="J46" s="62" t="s">
        <v>296</v>
      </c>
      <c r="K46" s="63" t="s">
        <v>297</v>
      </c>
      <c r="L46" s="62" t="s">
        <v>298</v>
      </c>
    </row>
    <row r="47" spans="1:12" ht="168.75" x14ac:dyDescent="0.3">
      <c r="A47" s="62">
        <v>13</v>
      </c>
      <c r="B47" s="62" t="s">
        <v>220</v>
      </c>
      <c r="C47" s="62" t="s">
        <v>299</v>
      </c>
      <c r="D47" s="62" t="s">
        <v>300</v>
      </c>
      <c r="E47" s="62" t="s">
        <v>301</v>
      </c>
      <c r="F47" s="57">
        <v>1170</v>
      </c>
      <c r="G47" s="57">
        <v>353.92</v>
      </c>
      <c r="H47" s="62" t="s">
        <v>72</v>
      </c>
      <c r="I47" s="62" t="s">
        <v>302</v>
      </c>
      <c r="J47" s="62" t="s">
        <v>303</v>
      </c>
      <c r="K47" s="63" t="s">
        <v>304</v>
      </c>
      <c r="L47" s="62" t="s">
        <v>305</v>
      </c>
    </row>
    <row r="48" spans="1:12" ht="101.25" x14ac:dyDescent="0.3">
      <c r="A48" s="62">
        <v>14</v>
      </c>
      <c r="B48" s="62" t="s">
        <v>306</v>
      </c>
      <c r="C48" s="62" t="s">
        <v>307</v>
      </c>
      <c r="D48" s="62" t="s">
        <v>222</v>
      </c>
      <c r="E48" s="62" t="s">
        <v>72</v>
      </c>
      <c r="F48" s="57">
        <v>0</v>
      </c>
      <c r="G48" s="57"/>
      <c r="H48" s="62" t="s">
        <v>224</v>
      </c>
      <c r="I48" s="62" t="s">
        <v>72</v>
      </c>
      <c r="J48" s="62" t="s">
        <v>72</v>
      </c>
      <c r="K48" s="63" t="s">
        <v>308</v>
      </c>
      <c r="L48" s="62" t="s">
        <v>309</v>
      </c>
    </row>
    <row r="49" spans="1:12" ht="409.5" x14ac:dyDescent="0.3">
      <c r="A49" s="62">
        <v>15</v>
      </c>
      <c r="B49" s="62" t="s">
        <v>306</v>
      </c>
      <c r="C49" s="62" t="s">
        <v>307</v>
      </c>
      <c r="D49" s="62" t="s">
        <v>310</v>
      </c>
      <c r="E49" s="62" t="s">
        <v>72</v>
      </c>
      <c r="F49" s="57">
        <v>0</v>
      </c>
      <c r="G49" s="57"/>
      <c r="H49" s="62" t="s">
        <v>311</v>
      </c>
      <c r="I49" s="62" t="s">
        <v>72</v>
      </c>
      <c r="J49" s="62" t="s">
        <v>72</v>
      </c>
      <c r="K49" s="63" t="s">
        <v>312</v>
      </c>
      <c r="L49" s="62" t="s">
        <v>313</v>
      </c>
    </row>
    <row r="50" spans="1:12" ht="236.25" x14ac:dyDescent="0.3">
      <c r="A50" s="62">
        <v>16</v>
      </c>
      <c r="B50" s="62" t="s">
        <v>306</v>
      </c>
      <c r="C50" s="62" t="s">
        <v>307</v>
      </c>
      <c r="D50" s="62" t="s">
        <v>314</v>
      </c>
      <c r="E50" s="62" t="s">
        <v>72</v>
      </c>
      <c r="F50" s="57">
        <v>0</v>
      </c>
      <c r="G50" s="57"/>
      <c r="H50" s="62" t="s">
        <v>315</v>
      </c>
      <c r="I50" s="62" t="s">
        <v>72</v>
      </c>
      <c r="J50" s="62" t="s">
        <v>72</v>
      </c>
      <c r="K50" s="63" t="s">
        <v>316</v>
      </c>
      <c r="L50" s="62" t="s">
        <v>317</v>
      </c>
    </row>
    <row r="51" spans="1:12" ht="326.25" x14ac:dyDescent="0.3">
      <c r="A51" s="62">
        <v>17</v>
      </c>
      <c r="B51" s="62" t="s">
        <v>306</v>
      </c>
      <c r="C51" s="62" t="s">
        <v>307</v>
      </c>
      <c r="D51" s="62" t="s">
        <v>318</v>
      </c>
      <c r="E51" s="62" t="s">
        <v>72</v>
      </c>
      <c r="F51" s="57">
        <v>0</v>
      </c>
      <c r="G51" s="57"/>
      <c r="H51" s="62" t="s">
        <v>319</v>
      </c>
      <c r="I51" s="62" t="s">
        <v>72</v>
      </c>
      <c r="J51" s="62" t="s">
        <v>72</v>
      </c>
      <c r="K51" s="63" t="s">
        <v>320</v>
      </c>
      <c r="L51" s="62" t="s">
        <v>321</v>
      </c>
    </row>
    <row r="52" spans="1:12" ht="409.5" x14ac:dyDescent="0.3">
      <c r="A52" s="62">
        <v>18</v>
      </c>
      <c r="B52" s="62" t="s">
        <v>306</v>
      </c>
      <c r="C52" s="62" t="s">
        <v>307</v>
      </c>
      <c r="D52" s="62" t="s">
        <v>322</v>
      </c>
      <c r="E52" s="62" t="s">
        <v>72</v>
      </c>
      <c r="F52" s="57">
        <v>0</v>
      </c>
      <c r="G52" s="57"/>
      <c r="H52" s="62" t="s">
        <v>323</v>
      </c>
      <c r="I52" s="62" t="s">
        <v>72</v>
      </c>
      <c r="J52" s="62" t="s">
        <v>72</v>
      </c>
      <c r="K52" s="63" t="s">
        <v>324</v>
      </c>
      <c r="L52" s="62" t="s">
        <v>325</v>
      </c>
    </row>
    <row r="53" spans="1:12" ht="146.25" x14ac:dyDescent="0.3">
      <c r="A53" s="62">
        <v>19</v>
      </c>
      <c r="B53" s="62" t="s">
        <v>306</v>
      </c>
      <c r="C53" s="62" t="s">
        <v>307</v>
      </c>
      <c r="D53" s="62" t="s">
        <v>326</v>
      </c>
      <c r="E53" s="62" t="s">
        <v>72</v>
      </c>
      <c r="F53" s="57">
        <v>0</v>
      </c>
      <c r="G53" s="57"/>
      <c r="H53" s="62" t="s">
        <v>327</v>
      </c>
      <c r="I53" s="62" t="s">
        <v>72</v>
      </c>
      <c r="J53" s="62" t="s">
        <v>72</v>
      </c>
      <c r="K53" s="63" t="s">
        <v>328</v>
      </c>
      <c r="L53" s="62" t="s">
        <v>329</v>
      </c>
    </row>
    <row r="54" spans="1:12" ht="326.25" x14ac:dyDescent="0.3">
      <c r="A54" s="62">
        <v>20</v>
      </c>
      <c r="B54" s="62" t="s">
        <v>306</v>
      </c>
      <c r="C54" s="62" t="s">
        <v>307</v>
      </c>
      <c r="D54" s="62" t="s">
        <v>330</v>
      </c>
      <c r="E54" s="62" t="s">
        <v>72</v>
      </c>
      <c r="F54" s="57">
        <v>0</v>
      </c>
      <c r="G54" s="57"/>
      <c r="H54" s="62" t="s">
        <v>331</v>
      </c>
      <c r="I54" s="62" t="s">
        <v>72</v>
      </c>
      <c r="J54" s="62" t="s">
        <v>72</v>
      </c>
      <c r="K54" s="63" t="s">
        <v>332</v>
      </c>
      <c r="L54" s="62" t="s">
        <v>333</v>
      </c>
    </row>
    <row r="55" spans="1:12" ht="78.75" x14ac:dyDescent="0.3">
      <c r="A55" s="62">
        <v>21</v>
      </c>
      <c r="B55" s="62" t="s">
        <v>306</v>
      </c>
      <c r="C55" s="62" t="s">
        <v>307</v>
      </c>
      <c r="D55" s="62" t="s">
        <v>334</v>
      </c>
      <c r="E55" s="62" t="s">
        <v>72</v>
      </c>
      <c r="F55" s="57">
        <v>0</v>
      </c>
      <c r="G55" s="57"/>
      <c r="H55" s="62" t="s">
        <v>335</v>
      </c>
      <c r="I55" s="62" t="s">
        <v>72</v>
      </c>
      <c r="J55" s="62" t="s">
        <v>72</v>
      </c>
      <c r="K55" s="63" t="s">
        <v>336</v>
      </c>
      <c r="L55" s="62" t="s">
        <v>337</v>
      </c>
    </row>
    <row r="56" spans="1:12" ht="409.5" x14ac:dyDescent="0.3">
      <c r="A56" s="62">
        <v>22</v>
      </c>
      <c r="B56" s="62" t="s">
        <v>306</v>
      </c>
      <c r="C56" s="62" t="s">
        <v>307</v>
      </c>
      <c r="D56" s="62" t="s">
        <v>338</v>
      </c>
      <c r="E56" s="62" t="s">
        <v>72</v>
      </c>
      <c r="F56" s="57">
        <v>0</v>
      </c>
      <c r="G56" s="57"/>
      <c r="H56" s="62" t="s">
        <v>339</v>
      </c>
      <c r="I56" s="62" t="s">
        <v>72</v>
      </c>
      <c r="J56" s="62" t="s">
        <v>72</v>
      </c>
      <c r="K56" s="63" t="s">
        <v>340</v>
      </c>
      <c r="L56" s="62" t="s">
        <v>341</v>
      </c>
    </row>
    <row r="57" spans="1:12" ht="56.25" x14ac:dyDescent="0.3">
      <c r="A57" s="62">
        <v>23</v>
      </c>
      <c r="B57" s="62" t="s">
        <v>306</v>
      </c>
      <c r="C57" s="62" t="s">
        <v>307</v>
      </c>
      <c r="D57" s="62" t="s">
        <v>342</v>
      </c>
      <c r="E57" s="62" t="s">
        <v>72</v>
      </c>
      <c r="F57" s="57">
        <v>0</v>
      </c>
      <c r="G57" s="57"/>
      <c r="H57" s="62" t="s">
        <v>343</v>
      </c>
      <c r="I57" s="62" t="s">
        <v>72</v>
      </c>
      <c r="J57" s="62" t="s">
        <v>72</v>
      </c>
      <c r="K57" s="63" t="s">
        <v>344</v>
      </c>
      <c r="L57" s="62" t="s">
        <v>345</v>
      </c>
    </row>
    <row r="58" spans="1:12" ht="146.25" x14ac:dyDescent="0.3">
      <c r="A58" s="62">
        <v>24</v>
      </c>
      <c r="B58" s="62" t="s">
        <v>306</v>
      </c>
      <c r="C58" s="62" t="s">
        <v>307</v>
      </c>
      <c r="D58" s="62" t="s">
        <v>346</v>
      </c>
      <c r="E58" s="62" t="s">
        <v>72</v>
      </c>
      <c r="F58" s="57">
        <v>0</v>
      </c>
      <c r="G58" s="57"/>
      <c r="H58" s="62" t="s">
        <v>347</v>
      </c>
      <c r="I58" s="62" t="s">
        <v>72</v>
      </c>
      <c r="J58" s="62" t="s">
        <v>72</v>
      </c>
      <c r="K58" s="63" t="s">
        <v>348</v>
      </c>
      <c r="L58" s="62" t="s">
        <v>349</v>
      </c>
    </row>
    <row r="59" spans="1:12" ht="56.25" x14ac:dyDescent="0.3">
      <c r="A59" s="62">
        <v>25</v>
      </c>
      <c r="B59" s="62" t="s">
        <v>306</v>
      </c>
      <c r="C59" s="62" t="s">
        <v>307</v>
      </c>
      <c r="D59" s="62" t="s">
        <v>350</v>
      </c>
      <c r="E59" s="62" t="s">
        <v>72</v>
      </c>
      <c r="F59" s="57">
        <v>0</v>
      </c>
      <c r="G59" s="57"/>
      <c r="H59" s="62" t="s">
        <v>351</v>
      </c>
      <c r="I59" s="62" t="s">
        <v>72</v>
      </c>
      <c r="J59" s="62" t="s">
        <v>72</v>
      </c>
      <c r="K59" s="63" t="s">
        <v>352</v>
      </c>
      <c r="L59" s="62" t="s">
        <v>353</v>
      </c>
    </row>
    <row r="60" spans="1:12" ht="409.5" x14ac:dyDescent="0.3">
      <c r="A60" s="62">
        <v>26</v>
      </c>
      <c r="B60" s="62" t="s">
        <v>306</v>
      </c>
      <c r="C60" s="62" t="s">
        <v>307</v>
      </c>
      <c r="D60" s="62" t="s">
        <v>354</v>
      </c>
      <c r="E60" s="62" t="s">
        <v>72</v>
      </c>
      <c r="F60" s="57">
        <v>0</v>
      </c>
      <c r="G60" s="57"/>
      <c r="H60" s="62" t="s">
        <v>355</v>
      </c>
      <c r="I60" s="62" t="s">
        <v>72</v>
      </c>
      <c r="J60" s="62" t="s">
        <v>72</v>
      </c>
      <c r="K60" s="63" t="s">
        <v>356</v>
      </c>
      <c r="L60" s="62" t="s">
        <v>357</v>
      </c>
    </row>
    <row r="61" spans="1:12" ht="348.75" x14ac:dyDescent="0.3">
      <c r="A61" s="62">
        <v>27</v>
      </c>
      <c r="B61" s="62" t="s">
        <v>358</v>
      </c>
      <c r="C61" s="62" t="s">
        <v>359</v>
      </c>
      <c r="D61" s="62" t="s">
        <v>152</v>
      </c>
      <c r="E61" s="62" t="s">
        <v>360</v>
      </c>
      <c r="F61" s="57">
        <v>36</v>
      </c>
      <c r="G61" s="57">
        <v>10.89</v>
      </c>
      <c r="H61" s="62" t="s">
        <v>311</v>
      </c>
      <c r="I61" s="62" t="s">
        <v>72</v>
      </c>
      <c r="J61" s="62" t="s">
        <v>361</v>
      </c>
      <c r="K61" s="63" t="s">
        <v>362</v>
      </c>
      <c r="L61" s="62" t="s">
        <v>363</v>
      </c>
    </row>
    <row r="62" spans="1:12" ht="22.5" x14ac:dyDescent="0.3">
      <c r="A62" s="62">
        <v>28</v>
      </c>
      <c r="B62" s="62" t="s">
        <v>358</v>
      </c>
      <c r="C62" s="62" t="s">
        <v>364</v>
      </c>
      <c r="D62" s="62" t="s">
        <v>152</v>
      </c>
      <c r="E62" s="62" t="s">
        <v>360</v>
      </c>
      <c r="F62" s="57">
        <v>59</v>
      </c>
      <c r="G62" s="57">
        <v>17.850000000000001</v>
      </c>
      <c r="H62" s="62" t="s">
        <v>365</v>
      </c>
      <c r="I62" s="62" t="s">
        <v>72</v>
      </c>
      <c r="J62" s="62" t="s">
        <v>361</v>
      </c>
      <c r="K62" s="63" t="s">
        <v>366</v>
      </c>
      <c r="L62" s="62" t="s">
        <v>367</v>
      </c>
    </row>
    <row r="63" spans="1:12" ht="409.5" x14ac:dyDescent="0.3">
      <c r="A63" s="62">
        <v>29</v>
      </c>
      <c r="B63" s="62" t="s">
        <v>358</v>
      </c>
      <c r="C63" s="62" t="s">
        <v>364</v>
      </c>
      <c r="D63" s="62" t="s">
        <v>152</v>
      </c>
      <c r="E63" s="62" t="s">
        <v>360</v>
      </c>
      <c r="F63" s="57">
        <v>39</v>
      </c>
      <c r="G63" s="57">
        <v>11.8</v>
      </c>
      <c r="H63" s="62" t="s">
        <v>368</v>
      </c>
      <c r="I63" s="62" t="s">
        <v>72</v>
      </c>
      <c r="J63" s="62" t="s">
        <v>369</v>
      </c>
      <c r="K63" s="63" t="s">
        <v>370</v>
      </c>
      <c r="L63" s="62" t="s">
        <v>371</v>
      </c>
    </row>
    <row r="64" spans="1:12" ht="303.75" x14ac:dyDescent="0.3">
      <c r="A64" s="62">
        <v>30</v>
      </c>
      <c r="B64" s="62" t="s">
        <v>358</v>
      </c>
      <c r="C64" s="62" t="s">
        <v>372</v>
      </c>
      <c r="D64" s="62" t="s">
        <v>373</v>
      </c>
      <c r="E64" s="62" t="s">
        <v>374</v>
      </c>
      <c r="F64" s="57">
        <v>80</v>
      </c>
      <c r="G64" s="57">
        <v>24.2</v>
      </c>
      <c r="H64" s="62" t="s">
        <v>375</v>
      </c>
      <c r="I64" s="62" t="s">
        <v>72</v>
      </c>
      <c r="J64" s="62" t="s">
        <v>376</v>
      </c>
      <c r="K64" s="63" t="s">
        <v>377</v>
      </c>
      <c r="L64" s="62" t="s">
        <v>378</v>
      </c>
    </row>
    <row r="65" spans="1:12" ht="393.75" x14ac:dyDescent="0.3">
      <c r="A65" s="62">
        <v>31</v>
      </c>
      <c r="B65" s="62" t="s">
        <v>358</v>
      </c>
      <c r="C65" s="62" t="s">
        <v>379</v>
      </c>
      <c r="D65" s="62" t="s">
        <v>177</v>
      </c>
      <c r="E65" s="62" t="s">
        <v>380</v>
      </c>
      <c r="F65" s="57">
        <v>473</v>
      </c>
      <c r="G65" s="57">
        <v>143.08000000000001</v>
      </c>
      <c r="H65" s="62" t="s">
        <v>311</v>
      </c>
      <c r="I65" s="62" t="s">
        <v>72</v>
      </c>
      <c r="J65" s="62" t="s">
        <v>381</v>
      </c>
      <c r="K65" s="63" t="s">
        <v>382</v>
      </c>
      <c r="L65" s="62" t="s">
        <v>383</v>
      </c>
    </row>
    <row r="66" spans="1:12" ht="409.5" x14ac:dyDescent="0.3">
      <c r="A66" s="62">
        <v>32</v>
      </c>
      <c r="B66" s="62" t="s">
        <v>358</v>
      </c>
      <c r="C66" s="62" t="s">
        <v>241</v>
      </c>
      <c r="D66" s="62" t="s">
        <v>384</v>
      </c>
      <c r="E66" s="62" t="s">
        <v>385</v>
      </c>
      <c r="F66" s="57">
        <v>54</v>
      </c>
      <c r="G66" s="57">
        <v>16.329999999999998</v>
      </c>
      <c r="H66" s="62" t="s">
        <v>72</v>
      </c>
      <c r="I66" s="62" t="s">
        <v>386</v>
      </c>
      <c r="J66" s="62" t="s">
        <v>387</v>
      </c>
      <c r="K66" s="63" t="s">
        <v>388</v>
      </c>
      <c r="L66" s="62" t="s">
        <v>389</v>
      </c>
    </row>
    <row r="67" spans="1:12" ht="409.5" x14ac:dyDescent="0.3">
      <c r="A67" s="62">
        <v>33</v>
      </c>
      <c r="B67" s="62" t="s">
        <v>358</v>
      </c>
      <c r="C67" s="62" t="s">
        <v>390</v>
      </c>
      <c r="D67" s="62" t="s">
        <v>391</v>
      </c>
      <c r="E67" s="62" t="s">
        <v>392</v>
      </c>
      <c r="F67" s="57">
        <v>64</v>
      </c>
      <c r="G67" s="57">
        <v>19.36</v>
      </c>
      <c r="H67" s="62" t="s">
        <v>72</v>
      </c>
      <c r="I67" s="62" t="s">
        <v>393</v>
      </c>
      <c r="J67" s="62" t="s">
        <v>394</v>
      </c>
      <c r="K67" s="63" t="s">
        <v>395</v>
      </c>
      <c r="L67" s="62" t="s">
        <v>396</v>
      </c>
    </row>
    <row r="68" spans="1:12" ht="409.5" x14ac:dyDescent="0.3">
      <c r="A68" s="62">
        <v>34</v>
      </c>
      <c r="B68" s="62" t="s">
        <v>358</v>
      </c>
      <c r="C68" s="62" t="s">
        <v>379</v>
      </c>
      <c r="D68" s="62" t="s">
        <v>177</v>
      </c>
      <c r="E68" s="62" t="s">
        <v>380</v>
      </c>
      <c r="F68" s="57">
        <v>71</v>
      </c>
      <c r="G68" s="57">
        <v>21.48</v>
      </c>
      <c r="H68" s="62" t="s">
        <v>72</v>
      </c>
      <c r="I68" s="62" t="s">
        <v>397</v>
      </c>
      <c r="J68" s="62" t="s">
        <v>381</v>
      </c>
      <c r="K68" s="63" t="s">
        <v>398</v>
      </c>
      <c r="L68" s="62" t="s">
        <v>399</v>
      </c>
    </row>
    <row r="69" spans="1:12" ht="180" x14ac:dyDescent="0.3">
      <c r="A69" s="62">
        <v>35</v>
      </c>
      <c r="B69" s="62" t="s">
        <v>358</v>
      </c>
      <c r="C69" s="62" t="s">
        <v>400</v>
      </c>
      <c r="D69" s="62" t="s">
        <v>401</v>
      </c>
      <c r="E69" s="62" t="s">
        <v>287</v>
      </c>
      <c r="F69" s="57">
        <v>30</v>
      </c>
      <c r="G69" s="57">
        <v>9.07</v>
      </c>
      <c r="H69" s="62" t="s">
        <v>72</v>
      </c>
      <c r="I69" s="62" t="s">
        <v>402</v>
      </c>
      <c r="J69" s="62" t="s">
        <v>403</v>
      </c>
      <c r="K69" s="63" t="s">
        <v>404</v>
      </c>
      <c r="L69" s="62" t="s">
        <v>405</v>
      </c>
    </row>
    <row r="70" spans="1:12" ht="281.25" x14ac:dyDescent="0.3">
      <c r="A70" s="62">
        <v>36</v>
      </c>
      <c r="B70" s="62" t="s">
        <v>358</v>
      </c>
      <c r="C70" s="62" t="s">
        <v>241</v>
      </c>
      <c r="D70" s="62" t="s">
        <v>406</v>
      </c>
      <c r="E70" s="62" t="s">
        <v>407</v>
      </c>
      <c r="F70" s="57">
        <v>166</v>
      </c>
      <c r="G70" s="57">
        <v>50.21</v>
      </c>
      <c r="H70" s="62" t="s">
        <v>72</v>
      </c>
      <c r="I70" s="62" t="s">
        <v>408</v>
      </c>
      <c r="J70" s="62" t="s">
        <v>409</v>
      </c>
      <c r="K70" s="63" t="s">
        <v>410</v>
      </c>
      <c r="L70" s="62" t="s">
        <v>411</v>
      </c>
    </row>
    <row r="71" spans="1:12" ht="409.5" x14ac:dyDescent="0.3">
      <c r="A71" s="62">
        <v>37</v>
      </c>
      <c r="B71" s="62" t="s">
        <v>412</v>
      </c>
      <c r="C71" s="62" t="s">
        <v>241</v>
      </c>
      <c r="D71" s="62" t="s">
        <v>413</v>
      </c>
      <c r="E71" s="62" t="s">
        <v>414</v>
      </c>
      <c r="F71" s="57">
        <v>373</v>
      </c>
      <c r="G71" s="57">
        <v>112.83</v>
      </c>
      <c r="H71" s="62" t="s">
        <v>72</v>
      </c>
      <c r="I71" s="62" t="s">
        <v>415</v>
      </c>
      <c r="J71" s="62" t="s">
        <v>416</v>
      </c>
      <c r="K71" s="63" t="s">
        <v>417</v>
      </c>
      <c r="L71" s="62" t="s">
        <v>418</v>
      </c>
    </row>
    <row r="72" spans="1:12" ht="270" x14ac:dyDescent="0.3">
      <c r="A72" s="62">
        <v>38</v>
      </c>
      <c r="B72" s="62" t="s">
        <v>412</v>
      </c>
      <c r="C72" s="62" t="s">
        <v>419</v>
      </c>
      <c r="D72" s="62" t="s">
        <v>420</v>
      </c>
      <c r="E72" s="62" t="s">
        <v>243</v>
      </c>
      <c r="F72" s="57">
        <v>106</v>
      </c>
      <c r="G72" s="57">
        <v>32.06</v>
      </c>
      <c r="H72" s="62" t="s">
        <v>72</v>
      </c>
      <c r="I72" s="62" t="s">
        <v>421</v>
      </c>
      <c r="J72" s="62" t="s">
        <v>422</v>
      </c>
      <c r="K72" s="63" t="s">
        <v>423</v>
      </c>
      <c r="L72" s="62" t="s">
        <v>424</v>
      </c>
    </row>
    <row r="73" spans="1:12" ht="409.5" x14ac:dyDescent="0.3">
      <c r="A73" s="62">
        <v>39</v>
      </c>
      <c r="B73" s="62" t="s">
        <v>412</v>
      </c>
      <c r="C73" s="62" t="s">
        <v>241</v>
      </c>
      <c r="D73" s="62" t="s">
        <v>425</v>
      </c>
      <c r="E73" s="62" t="s">
        <v>426</v>
      </c>
      <c r="F73" s="57">
        <v>258</v>
      </c>
      <c r="G73" s="57">
        <v>78.040000000000006</v>
      </c>
      <c r="H73" s="62" t="s">
        <v>72</v>
      </c>
      <c r="I73" s="62" t="s">
        <v>427</v>
      </c>
      <c r="J73" s="62" t="s">
        <v>428</v>
      </c>
      <c r="K73" s="63" t="s">
        <v>429</v>
      </c>
      <c r="L73" s="62" t="s">
        <v>430</v>
      </c>
    </row>
    <row r="74" spans="1:12" ht="382.5" x14ac:dyDescent="0.3">
      <c r="A74" s="62">
        <v>40</v>
      </c>
      <c r="B74" s="62" t="s">
        <v>412</v>
      </c>
      <c r="C74" s="62" t="s">
        <v>372</v>
      </c>
      <c r="D74" s="62" t="s">
        <v>431</v>
      </c>
      <c r="E74" s="62" t="s">
        <v>432</v>
      </c>
      <c r="F74" s="57">
        <v>165</v>
      </c>
      <c r="G74" s="57">
        <v>49.91</v>
      </c>
      <c r="H74" s="62" t="s">
        <v>72</v>
      </c>
      <c r="I74" s="62" t="s">
        <v>433</v>
      </c>
      <c r="J74" s="62" t="s">
        <v>434</v>
      </c>
      <c r="K74" s="63" t="s">
        <v>435</v>
      </c>
      <c r="L74" s="62" t="s">
        <v>436</v>
      </c>
    </row>
    <row r="75" spans="1:12" ht="315" x14ac:dyDescent="0.3">
      <c r="A75" s="62">
        <v>41</v>
      </c>
      <c r="B75" s="62" t="s">
        <v>412</v>
      </c>
      <c r="C75" s="62" t="s">
        <v>372</v>
      </c>
      <c r="D75" s="62" t="s">
        <v>437</v>
      </c>
      <c r="E75" s="62" t="s">
        <v>438</v>
      </c>
      <c r="F75" s="57">
        <v>150</v>
      </c>
      <c r="G75" s="57">
        <v>45.37</v>
      </c>
      <c r="H75" s="62" t="s">
        <v>72</v>
      </c>
      <c r="I75" s="62" t="s">
        <v>439</v>
      </c>
      <c r="J75" s="62" t="s">
        <v>440</v>
      </c>
      <c r="K75" s="63" t="s">
        <v>441</v>
      </c>
      <c r="L75" s="62" t="s">
        <v>442</v>
      </c>
    </row>
    <row r="76" spans="1:12" ht="409.5" x14ac:dyDescent="0.3">
      <c r="A76" s="62">
        <v>42</v>
      </c>
      <c r="B76" s="62" t="s">
        <v>412</v>
      </c>
      <c r="C76" s="62" t="s">
        <v>443</v>
      </c>
      <c r="D76" s="62" t="s">
        <v>444</v>
      </c>
      <c r="E76" s="62" t="s">
        <v>445</v>
      </c>
      <c r="F76" s="57">
        <v>255</v>
      </c>
      <c r="G76" s="57">
        <v>77.14</v>
      </c>
      <c r="H76" s="62" t="s">
        <v>72</v>
      </c>
      <c r="I76" s="62" t="s">
        <v>446</v>
      </c>
      <c r="J76" s="62" t="s">
        <v>447</v>
      </c>
      <c r="K76" s="63" t="s">
        <v>448</v>
      </c>
      <c r="L76" s="62" t="s">
        <v>449</v>
      </c>
    </row>
    <row r="77" spans="1:12" ht="409.5" x14ac:dyDescent="0.3">
      <c r="A77" s="62">
        <v>43</v>
      </c>
      <c r="B77" s="62" t="s">
        <v>412</v>
      </c>
      <c r="C77" s="62" t="s">
        <v>450</v>
      </c>
      <c r="D77" s="62" t="s">
        <v>451</v>
      </c>
      <c r="E77" s="62" t="s">
        <v>452</v>
      </c>
      <c r="F77" s="57">
        <v>212</v>
      </c>
      <c r="G77" s="57">
        <v>64.13</v>
      </c>
      <c r="H77" s="62" t="s">
        <v>72</v>
      </c>
      <c r="I77" s="62" t="s">
        <v>453</v>
      </c>
      <c r="J77" s="62" t="s">
        <v>454</v>
      </c>
      <c r="K77" s="63" t="s">
        <v>455</v>
      </c>
      <c r="L77" s="62" t="s">
        <v>456</v>
      </c>
    </row>
    <row r="78" spans="1:12" ht="409.5" x14ac:dyDescent="0.3">
      <c r="A78" s="62">
        <v>44</v>
      </c>
      <c r="B78" s="62" t="s">
        <v>412</v>
      </c>
      <c r="C78" s="62" t="s">
        <v>241</v>
      </c>
      <c r="D78" s="62" t="s">
        <v>457</v>
      </c>
      <c r="E78" s="62" t="s">
        <v>458</v>
      </c>
      <c r="F78" s="57">
        <v>214</v>
      </c>
      <c r="G78" s="57">
        <v>64.73</v>
      </c>
      <c r="H78" s="62" t="s">
        <v>72</v>
      </c>
      <c r="I78" s="62" t="s">
        <v>459</v>
      </c>
      <c r="J78" s="62" t="s">
        <v>460</v>
      </c>
      <c r="K78" s="63" t="s">
        <v>461</v>
      </c>
      <c r="L78" s="62" t="s">
        <v>462</v>
      </c>
    </row>
    <row r="79" spans="1:12" ht="303.75" x14ac:dyDescent="0.3">
      <c r="A79" s="62">
        <v>45</v>
      </c>
      <c r="B79" s="62" t="s">
        <v>412</v>
      </c>
      <c r="C79" s="62" t="s">
        <v>241</v>
      </c>
      <c r="D79" s="62" t="s">
        <v>463</v>
      </c>
      <c r="E79" s="62" t="s">
        <v>464</v>
      </c>
      <c r="F79" s="57">
        <v>231</v>
      </c>
      <c r="G79" s="57">
        <v>69.88</v>
      </c>
      <c r="H79" s="62" t="s">
        <v>72</v>
      </c>
      <c r="I79" s="62" t="s">
        <v>453</v>
      </c>
      <c r="J79" s="62" t="s">
        <v>465</v>
      </c>
      <c r="K79" s="63" t="s">
        <v>466</v>
      </c>
      <c r="L79" s="62" t="s">
        <v>467</v>
      </c>
    </row>
    <row r="80" spans="1:12" ht="393.75" x14ac:dyDescent="0.3">
      <c r="A80" s="62">
        <v>46</v>
      </c>
      <c r="B80" s="62" t="s">
        <v>412</v>
      </c>
      <c r="C80" s="62" t="s">
        <v>468</v>
      </c>
      <c r="D80" s="62" t="s">
        <v>469</v>
      </c>
      <c r="E80" s="62" t="s">
        <v>470</v>
      </c>
      <c r="F80" s="57">
        <v>234</v>
      </c>
      <c r="G80" s="57">
        <v>70.78</v>
      </c>
      <c r="H80" s="62" t="s">
        <v>72</v>
      </c>
      <c r="I80" s="62" t="s">
        <v>471</v>
      </c>
      <c r="J80" s="62" t="s">
        <v>472</v>
      </c>
      <c r="K80" s="63" t="s">
        <v>473</v>
      </c>
      <c r="L80" s="62" t="s">
        <v>474</v>
      </c>
    </row>
    <row r="81" spans="1:12" ht="409.5" x14ac:dyDescent="0.3">
      <c r="A81" s="62">
        <v>47</v>
      </c>
      <c r="B81" s="62" t="s">
        <v>412</v>
      </c>
      <c r="C81" s="62" t="s">
        <v>475</v>
      </c>
      <c r="D81" s="62" t="s">
        <v>476</v>
      </c>
      <c r="E81" s="62" t="s">
        <v>477</v>
      </c>
      <c r="F81" s="57">
        <v>185</v>
      </c>
      <c r="G81" s="57">
        <v>55.96</v>
      </c>
      <c r="H81" s="62" t="s">
        <v>72</v>
      </c>
      <c r="I81" s="62" t="s">
        <v>386</v>
      </c>
      <c r="J81" s="62" t="s">
        <v>478</v>
      </c>
      <c r="K81" s="63" t="s">
        <v>479</v>
      </c>
      <c r="L81" s="62" t="s">
        <v>480</v>
      </c>
    </row>
    <row r="82" spans="1:12" ht="281.25" x14ac:dyDescent="0.3">
      <c r="A82" s="62">
        <v>48</v>
      </c>
      <c r="B82" s="62" t="s">
        <v>412</v>
      </c>
      <c r="C82" s="62" t="s">
        <v>481</v>
      </c>
      <c r="D82" s="62" t="s">
        <v>482</v>
      </c>
      <c r="E82" s="62" t="s">
        <v>483</v>
      </c>
      <c r="F82" s="57">
        <v>338</v>
      </c>
      <c r="G82" s="57">
        <v>102.24</v>
      </c>
      <c r="H82" s="62" t="s">
        <v>72</v>
      </c>
      <c r="I82" s="62" t="s">
        <v>484</v>
      </c>
      <c r="J82" s="62" t="s">
        <v>485</v>
      </c>
      <c r="K82" s="63" t="s">
        <v>486</v>
      </c>
      <c r="L82" s="62" t="s">
        <v>487</v>
      </c>
    </row>
    <row r="83" spans="1:12" ht="157.5" x14ac:dyDescent="0.3">
      <c r="A83" s="62">
        <v>49</v>
      </c>
      <c r="B83" s="62" t="s">
        <v>412</v>
      </c>
      <c r="C83" s="62" t="s">
        <v>221</v>
      </c>
      <c r="D83" s="62" t="s">
        <v>488</v>
      </c>
      <c r="E83" s="62" t="s">
        <v>489</v>
      </c>
      <c r="F83" s="57">
        <v>145</v>
      </c>
      <c r="G83" s="57">
        <v>43.86</v>
      </c>
      <c r="H83" s="62" t="s">
        <v>72</v>
      </c>
      <c r="I83" s="62" t="s">
        <v>490</v>
      </c>
      <c r="J83" s="62" t="s">
        <v>491</v>
      </c>
      <c r="K83" s="63" t="s">
        <v>492</v>
      </c>
      <c r="L83" s="62" t="s">
        <v>493</v>
      </c>
    </row>
    <row r="84" spans="1:12" ht="371.25" x14ac:dyDescent="0.3">
      <c r="A84" s="62">
        <v>50</v>
      </c>
      <c r="B84" s="62" t="s">
        <v>412</v>
      </c>
      <c r="C84" s="62" t="s">
        <v>241</v>
      </c>
      <c r="D84" s="62" t="s">
        <v>494</v>
      </c>
      <c r="E84" s="62" t="s">
        <v>495</v>
      </c>
      <c r="F84" s="57">
        <v>93</v>
      </c>
      <c r="G84" s="57">
        <v>28.13</v>
      </c>
      <c r="H84" s="62" t="s">
        <v>72</v>
      </c>
      <c r="I84" s="62" t="s">
        <v>496</v>
      </c>
      <c r="J84" s="62" t="s">
        <v>497</v>
      </c>
      <c r="K84" s="63" t="s">
        <v>498</v>
      </c>
      <c r="L84" s="62" t="s">
        <v>499</v>
      </c>
    </row>
    <row r="85" spans="1:12" ht="409.5" x14ac:dyDescent="0.3">
      <c r="A85" s="62">
        <v>51</v>
      </c>
      <c r="B85" s="62" t="s">
        <v>412</v>
      </c>
      <c r="C85" s="62" t="s">
        <v>500</v>
      </c>
      <c r="D85" s="62" t="s">
        <v>501</v>
      </c>
      <c r="E85" s="62" t="s">
        <v>438</v>
      </c>
      <c r="F85" s="57">
        <v>159</v>
      </c>
      <c r="G85" s="57">
        <v>48.1</v>
      </c>
      <c r="H85" s="62" t="s">
        <v>72</v>
      </c>
      <c r="I85" s="62" t="s">
        <v>502</v>
      </c>
      <c r="J85" s="62" t="s">
        <v>503</v>
      </c>
      <c r="K85" s="63" t="s">
        <v>504</v>
      </c>
      <c r="L85" s="62" t="s">
        <v>505</v>
      </c>
    </row>
    <row r="87" spans="1:12" x14ac:dyDescent="0.3">
      <c r="A87" s="141" t="s">
        <v>506</v>
      </c>
      <c r="B87" s="103"/>
      <c r="C87" s="103"/>
      <c r="D87" s="103"/>
      <c r="E87" s="103"/>
      <c r="F87" s="103"/>
      <c r="G87" s="103"/>
      <c r="H87" s="103"/>
      <c r="I87" s="103"/>
      <c r="J87" s="103"/>
      <c r="K87" s="103"/>
      <c r="L87" s="103"/>
    </row>
    <row r="88" spans="1:12" x14ac:dyDescent="0.3">
      <c r="A88" s="56" t="s">
        <v>124</v>
      </c>
      <c r="B88" s="56" t="s">
        <v>507</v>
      </c>
      <c r="C88" s="56" t="s">
        <v>508</v>
      </c>
      <c r="D88" s="56" t="s">
        <v>509</v>
      </c>
      <c r="E88" s="56" t="s">
        <v>25</v>
      </c>
      <c r="F88" s="56" t="s">
        <v>11</v>
      </c>
      <c r="G88" s="56" t="s">
        <v>510</v>
      </c>
      <c r="H88" s="56" t="s">
        <v>511</v>
      </c>
      <c r="I88" s="56" t="s">
        <v>512</v>
      </c>
      <c r="J88" s="56" t="s">
        <v>513</v>
      </c>
      <c r="K88" s="56" t="s">
        <v>514</v>
      </c>
      <c r="L88" s="56" t="s">
        <v>515</v>
      </c>
    </row>
    <row r="89" spans="1:12" ht="56.25" x14ac:dyDescent="0.3">
      <c r="A89" s="62">
        <v>1</v>
      </c>
      <c r="B89" s="62" t="s">
        <v>516</v>
      </c>
      <c r="C89" s="62" t="s">
        <v>517</v>
      </c>
      <c r="D89" s="71" t="s">
        <v>518</v>
      </c>
      <c r="E89" s="62" t="s">
        <v>519</v>
      </c>
      <c r="F89" s="62" t="s">
        <v>520</v>
      </c>
      <c r="G89" s="58">
        <v>318000000</v>
      </c>
      <c r="H89" s="58">
        <v>38888880</v>
      </c>
      <c r="I89" s="60">
        <v>0.12</v>
      </c>
      <c r="J89" s="60">
        <v>0.12</v>
      </c>
      <c r="K89" s="62">
        <v>1</v>
      </c>
      <c r="L89" s="62" t="s">
        <v>521</v>
      </c>
    </row>
    <row r="90" spans="1:12" ht="56.25" x14ac:dyDescent="0.3">
      <c r="A90" s="62">
        <v>2</v>
      </c>
      <c r="B90" s="62" t="s">
        <v>522</v>
      </c>
      <c r="C90" s="62" t="s">
        <v>523</v>
      </c>
      <c r="D90" s="71" t="s">
        <v>524</v>
      </c>
      <c r="E90" s="62" t="s">
        <v>519</v>
      </c>
      <c r="F90" s="62" t="s">
        <v>525</v>
      </c>
      <c r="G90" s="58">
        <v>621000000</v>
      </c>
      <c r="H90" s="58">
        <v>304295000</v>
      </c>
      <c r="I90" s="60">
        <v>0.49</v>
      </c>
      <c r="J90" s="60">
        <v>0.34</v>
      </c>
      <c r="K90" s="62">
        <v>1</v>
      </c>
      <c r="L90" s="62" t="s">
        <v>526</v>
      </c>
    </row>
    <row r="91" spans="1:12" ht="56.25" x14ac:dyDescent="0.3">
      <c r="A91" s="62">
        <v>3</v>
      </c>
      <c r="B91" s="62" t="s">
        <v>527</v>
      </c>
      <c r="C91" s="62" t="s">
        <v>528</v>
      </c>
      <c r="D91" s="71" t="s">
        <v>529</v>
      </c>
      <c r="E91" s="62" t="s">
        <v>519</v>
      </c>
      <c r="F91" s="62" t="s">
        <v>530</v>
      </c>
      <c r="G91" s="58">
        <v>767000000</v>
      </c>
      <c r="H91" s="58">
        <v>462200000</v>
      </c>
      <c r="I91" s="60">
        <v>0.6</v>
      </c>
      <c r="J91" s="60">
        <v>0.49</v>
      </c>
      <c r="K91" s="62">
        <v>1</v>
      </c>
      <c r="L91" s="62" t="s">
        <v>531</v>
      </c>
    </row>
    <row r="92" spans="1:12" ht="67.5" x14ac:dyDescent="0.3">
      <c r="A92" s="62">
        <v>4</v>
      </c>
      <c r="B92" s="62" t="s">
        <v>522</v>
      </c>
      <c r="C92" s="62" t="s">
        <v>532</v>
      </c>
      <c r="D92" s="71" t="s">
        <v>533</v>
      </c>
      <c r="E92" s="62" t="s">
        <v>534</v>
      </c>
      <c r="F92" s="62" t="s">
        <v>535</v>
      </c>
      <c r="G92" s="58">
        <v>12013332700</v>
      </c>
      <c r="H92" s="58">
        <v>10000000000</v>
      </c>
      <c r="I92" s="60">
        <v>0.83</v>
      </c>
      <c r="J92" s="60">
        <v>0.7</v>
      </c>
      <c r="K92" s="62">
        <v>1</v>
      </c>
      <c r="L92" s="62" t="s">
        <v>536</v>
      </c>
    </row>
    <row r="93" spans="1:12" ht="67.5" x14ac:dyDescent="0.3">
      <c r="A93" s="62">
        <v>5</v>
      </c>
      <c r="B93" s="62" t="s">
        <v>516</v>
      </c>
      <c r="C93" s="62" t="s">
        <v>537</v>
      </c>
      <c r="D93" s="71" t="s">
        <v>538</v>
      </c>
      <c r="E93" s="62" t="s">
        <v>539</v>
      </c>
      <c r="F93" s="62" t="s">
        <v>540</v>
      </c>
      <c r="G93" s="58">
        <v>6441329000</v>
      </c>
      <c r="H93" s="58">
        <v>3500000000</v>
      </c>
      <c r="I93" s="60">
        <v>0.54</v>
      </c>
      <c r="J93" s="60">
        <v>0.34</v>
      </c>
      <c r="K93" s="62">
        <v>1</v>
      </c>
      <c r="L93" s="62" t="s">
        <v>541</v>
      </c>
    </row>
    <row r="94" spans="1:12" ht="56.25" x14ac:dyDescent="0.3">
      <c r="A94" s="62">
        <v>6</v>
      </c>
      <c r="B94" s="62" t="s">
        <v>542</v>
      </c>
      <c r="C94" s="62" t="s">
        <v>543</v>
      </c>
      <c r="D94" s="71" t="s">
        <v>544</v>
      </c>
      <c r="E94" s="62" t="s">
        <v>545</v>
      </c>
      <c r="F94" s="62" t="s">
        <v>546</v>
      </c>
      <c r="G94" s="58">
        <v>1589075600</v>
      </c>
      <c r="H94" s="58">
        <v>821210000</v>
      </c>
      <c r="I94" s="60">
        <v>0.52</v>
      </c>
      <c r="J94" s="60">
        <v>0.49</v>
      </c>
      <c r="K94" s="62">
        <v>1</v>
      </c>
      <c r="L94" s="62" t="s">
        <v>547</v>
      </c>
    </row>
    <row r="95" spans="1:12" ht="56.25" x14ac:dyDescent="0.3">
      <c r="A95" s="62">
        <v>7</v>
      </c>
      <c r="B95" s="62" t="s">
        <v>542</v>
      </c>
      <c r="C95" s="62" t="s">
        <v>548</v>
      </c>
      <c r="D95" s="71" t="s">
        <v>549</v>
      </c>
      <c r="E95" s="62" t="s">
        <v>519</v>
      </c>
      <c r="F95" s="62" t="s">
        <v>550</v>
      </c>
      <c r="G95" s="58">
        <v>294000000</v>
      </c>
      <c r="H95" s="58">
        <v>55000000</v>
      </c>
      <c r="I95" s="60">
        <v>0.19</v>
      </c>
      <c r="J95" s="60">
        <v>0.17</v>
      </c>
      <c r="K95" s="62">
        <v>1</v>
      </c>
      <c r="L95" s="62" t="s">
        <v>551</v>
      </c>
    </row>
    <row r="96" spans="1:12" ht="56.25" x14ac:dyDescent="0.3">
      <c r="A96" s="62">
        <v>8</v>
      </c>
      <c r="B96" s="62" t="s">
        <v>542</v>
      </c>
      <c r="C96" s="62" t="s">
        <v>552</v>
      </c>
      <c r="D96" s="71" t="s">
        <v>553</v>
      </c>
      <c r="E96" s="62" t="s">
        <v>554</v>
      </c>
      <c r="F96" s="62" t="s">
        <v>555</v>
      </c>
      <c r="G96" s="58">
        <v>399287000</v>
      </c>
      <c r="H96" s="58">
        <v>210000000</v>
      </c>
      <c r="I96" s="60">
        <v>0.53</v>
      </c>
      <c r="J96" s="60">
        <v>0.49</v>
      </c>
      <c r="K96" s="62">
        <v>1</v>
      </c>
      <c r="L96" s="62" t="s">
        <v>556</v>
      </c>
    </row>
    <row r="97" spans="1:12" x14ac:dyDescent="0.3">
      <c r="A97" s="142" t="s">
        <v>557</v>
      </c>
      <c r="B97" s="97"/>
      <c r="C97" s="97"/>
      <c r="D97" s="97"/>
      <c r="E97" s="97"/>
      <c r="F97" s="97"/>
      <c r="G97" s="97"/>
      <c r="H97" s="91"/>
      <c r="I97" s="61">
        <f>IFERROR(AVERAGE(I89:I96),0)</f>
        <v>0.47750000000000004</v>
      </c>
      <c r="J97" s="61">
        <f>IFERROR(AVERAGE(J89:J96),0)</f>
        <v>0.39249999999999996</v>
      </c>
      <c r="K97" s="76"/>
      <c r="L97" s="76"/>
    </row>
    <row r="99" spans="1:12" x14ac:dyDescent="0.3">
      <c r="A99" s="141" t="s">
        <v>558</v>
      </c>
      <c r="B99" s="103"/>
      <c r="C99" s="103"/>
      <c r="D99" s="103"/>
      <c r="E99" s="103"/>
      <c r="F99" s="103"/>
      <c r="G99" s="103"/>
      <c r="H99" s="103"/>
      <c r="I99" s="103"/>
      <c r="J99" s="103"/>
      <c r="K99" s="103"/>
      <c r="L99" s="103"/>
    </row>
    <row r="100" spans="1:12" ht="33.950000000000003" customHeight="1" x14ac:dyDescent="0.3">
      <c r="A100" s="139" t="s">
        <v>559</v>
      </c>
      <c r="B100" s="103"/>
      <c r="C100" s="103"/>
      <c r="D100" s="103"/>
      <c r="E100" s="103"/>
      <c r="F100" s="103"/>
      <c r="G100" s="103"/>
      <c r="H100" s="103"/>
      <c r="I100" s="103"/>
      <c r="J100" s="103"/>
      <c r="K100" s="103"/>
      <c r="L100" s="103"/>
    </row>
    <row r="101" spans="1:12" ht="33.950000000000003" customHeight="1" x14ac:dyDescent="0.3">
      <c r="A101" s="139" t="s">
        <v>560</v>
      </c>
      <c r="B101" s="103"/>
      <c r="C101" s="103"/>
      <c r="D101" s="103"/>
      <c r="E101" s="103"/>
      <c r="F101" s="103"/>
      <c r="G101" s="103"/>
      <c r="H101" s="103"/>
      <c r="I101" s="103"/>
      <c r="J101" s="103"/>
      <c r="K101" s="103"/>
      <c r="L101" s="103"/>
    </row>
    <row r="102" spans="1:12" ht="33.950000000000003" customHeight="1" x14ac:dyDescent="0.3">
      <c r="A102" s="139" t="s">
        <v>561</v>
      </c>
      <c r="B102" s="103"/>
      <c r="C102" s="103"/>
      <c r="D102" s="103"/>
      <c r="E102" s="103"/>
      <c r="F102" s="103"/>
      <c r="G102" s="103"/>
      <c r="H102" s="103"/>
      <c r="I102" s="103"/>
      <c r="J102" s="103"/>
      <c r="K102" s="103"/>
      <c r="L102" s="103"/>
    </row>
    <row r="103" spans="1:12" ht="33.950000000000003" customHeight="1" x14ac:dyDescent="0.3">
      <c r="A103" s="139" t="s">
        <v>562</v>
      </c>
      <c r="B103" s="103"/>
      <c r="C103" s="103"/>
      <c r="D103" s="103"/>
      <c r="E103" s="103"/>
      <c r="F103" s="103"/>
      <c r="G103" s="103"/>
      <c r="H103" s="103"/>
      <c r="I103" s="103"/>
      <c r="J103" s="103"/>
      <c r="K103" s="103"/>
      <c r="L103" s="103"/>
    </row>
    <row r="104" spans="1:12" ht="33.950000000000003" customHeight="1" x14ac:dyDescent="0.3">
      <c r="A104" s="139" t="s">
        <v>563</v>
      </c>
      <c r="B104" s="103"/>
      <c r="C104" s="103"/>
      <c r="D104" s="103"/>
      <c r="E104" s="103"/>
      <c r="F104" s="103"/>
      <c r="G104" s="103"/>
      <c r="H104" s="103"/>
      <c r="I104" s="103"/>
      <c r="J104" s="103"/>
      <c r="K104" s="103"/>
      <c r="L104" s="103"/>
    </row>
    <row r="105" spans="1:12" ht="33.950000000000003" customHeight="1" x14ac:dyDescent="0.3">
      <c r="A105" s="139" t="s">
        <v>564</v>
      </c>
      <c r="B105" s="103"/>
      <c r="C105" s="103"/>
      <c r="D105" s="103"/>
      <c r="E105" s="103"/>
      <c r="F105" s="103"/>
      <c r="G105" s="103"/>
      <c r="H105" s="103"/>
      <c r="I105" s="103"/>
      <c r="J105" s="103"/>
      <c r="K105" s="103"/>
      <c r="L105" s="103"/>
    </row>
  </sheetData>
  <mergeCells count="14">
    <mergeCell ref="A1:L1"/>
    <mergeCell ref="A103:L103"/>
    <mergeCell ref="A102:L102"/>
    <mergeCell ref="A105:L105"/>
    <mergeCell ref="A31:H31"/>
    <mergeCell ref="A87:L87"/>
    <mergeCell ref="A4:L4"/>
    <mergeCell ref="A100:L100"/>
    <mergeCell ref="A101:L101"/>
    <mergeCell ref="A2:L2"/>
    <mergeCell ref="A104:L104"/>
    <mergeCell ref="A33:L33"/>
    <mergeCell ref="A97:H97"/>
    <mergeCell ref="A99:L99"/>
  </mergeCells>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77"/>
  <sheetViews>
    <sheetView workbookViewId="0">
      <selection activeCell="K8" sqref="K8"/>
    </sheetView>
  </sheetViews>
  <sheetFormatPr defaultRowHeight="16.5" x14ac:dyDescent="0.3"/>
  <cols>
    <col min="1" max="1" width="5" style="66" customWidth="1"/>
    <col min="2" max="2" width="12" style="66" customWidth="1"/>
    <col min="3" max="3" width="13" style="66" customWidth="1"/>
    <col min="4" max="4" width="16" style="66" customWidth="1"/>
    <col min="5" max="5" width="11" style="66" customWidth="1"/>
    <col min="6" max="6" width="13.75" style="66" customWidth="1"/>
    <col min="7" max="8" width="14" style="66" customWidth="1"/>
    <col min="9" max="9" width="10" style="66" customWidth="1"/>
    <col min="10" max="10" width="9" style="66" customWidth="1"/>
    <col min="11" max="11" width="14" style="66" customWidth="1"/>
  </cols>
  <sheetData>
    <row r="1" spans="1:25" ht="27.95" customHeight="1" x14ac:dyDescent="0.3">
      <c r="A1" s="143" t="s">
        <v>565</v>
      </c>
      <c r="B1" s="172"/>
      <c r="C1" s="172"/>
      <c r="D1" s="172"/>
      <c r="E1" s="172"/>
      <c r="F1" s="172"/>
      <c r="G1" s="172"/>
      <c r="H1" s="172"/>
      <c r="I1" s="172"/>
      <c r="J1" s="115"/>
      <c r="K1" s="48"/>
      <c r="L1" s="49"/>
      <c r="M1" s="16"/>
      <c r="N1" s="16"/>
      <c r="O1" s="16"/>
      <c r="P1" s="16"/>
      <c r="Q1" s="16"/>
      <c r="R1" s="16"/>
      <c r="S1" s="16"/>
      <c r="T1" s="16"/>
      <c r="U1" s="16"/>
      <c r="V1" s="16"/>
      <c r="W1" s="16"/>
      <c r="X1" s="16"/>
      <c r="Y1" s="16"/>
    </row>
    <row r="2" spans="1:25" ht="21.95" customHeight="1" x14ac:dyDescent="0.3">
      <c r="A2" s="188" t="s">
        <v>566</v>
      </c>
      <c r="B2" s="189"/>
      <c r="C2" s="189"/>
      <c r="D2" s="189"/>
      <c r="E2" s="189"/>
      <c r="F2" s="189"/>
      <c r="G2" s="189"/>
      <c r="H2" s="189"/>
      <c r="I2" s="189"/>
      <c r="J2" s="190"/>
      <c r="K2" s="24"/>
      <c r="L2" s="16"/>
      <c r="M2" s="16"/>
      <c r="N2" s="16"/>
      <c r="O2" s="16"/>
      <c r="P2" s="16"/>
      <c r="Q2" s="16"/>
      <c r="R2" s="16"/>
      <c r="S2" s="16"/>
      <c r="T2" s="16"/>
      <c r="U2" s="16"/>
      <c r="V2" s="16"/>
      <c r="W2" s="16"/>
      <c r="X2" s="16"/>
      <c r="Y2" s="16"/>
    </row>
    <row r="3" spans="1:25" ht="21.95" customHeight="1" x14ac:dyDescent="0.3">
      <c r="A3" s="27" t="s">
        <v>567</v>
      </c>
      <c r="B3" s="18"/>
      <c r="C3" s="18"/>
      <c r="D3" s="18"/>
      <c r="E3" s="18"/>
      <c r="F3" s="18"/>
      <c r="G3" s="18"/>
      <c r="H3" s="19"/>
      <c r="I3" s="18"/>
      <c r="J3" s="28" t="s">
        <v>568</v>
      </c>
      <c r="K3" s="23"/>
      <c r="L3" s="16"/>
      <c r="M3" s="16"/>
      <c r="N3" s="16"/>
      <c r="O3" s="16"/>
      <c r="P3" s="16"/>
      <c r="Q3" s="16"/>
      <c r="R3" s="16"/>
      <c r="S3" s="16"/>
      <c r="T3" s="16"/>
      <c r="U3" s="16"/>
      <c r="V3" s="16"/>
      <c r="W3" s="16"/>
      <c r="X3" s="16"/>
      <c r="Y3" s="16"/>
    </row>
    <row r="4" spans="1:25" ht="24" customHeight="1" x14ac:dyDescent="0.3">
      <c r="A4" s="195" t="s">
        <v>124</v>
      </c>
      <c r="B4" s="175" t="s">
        <v>126</v>
      </c>
      <c r="C4" s="175" t="s">
        <v>509</v>
      </c>
      <c r="D4" s="175" t="s">
        <v>569</v>
      </c>
      <c r="E4" s="181" t="s">
        <v>11</v>
      </c>
      <c r="F4" s="94"/>
      <c r="G4" s="175" t="s">
        <v>570</v>
      </c>
      <c r="H4" s="175" t="s">
        <v>571</v>
      </c>
      <c r="I4" s="192" t="s">
        <v>572</v>
      </c>
      <c r="J4" s="130"/>
      <c r="K4" s="23"/>
      <c r="L4" s="16"/>
      <c r="M4" s="16"/>
      <c r="N4" s="16"/>
      <c r="O4" s="16"/>
      <c r="P4" s="16"/>
      <c r="Q4" s="16"/>
      <c r="R4" s="16"/>
      <c r="S4" s="16"/>
      <c r="T4" s="16"/>
      <c r="U4" s="16"/>
      <c r="V4" s="16"/>
      <c r="W4" s="16"/>
      <c r="X4" s="16"/>
      <c r="Y4" s="16"/>
    </row>
    <row r="5" spans="1:25" ht="24" customHeight="1" x14ac:dyDescent="0.3">
      <c r="A5" s="153"/>
      <c r="B5" s="176"/>
      <c r="C5" s="176"/>
      <c r="D5" s="176"/>
      <c r="E5" s="178" t="s">
        <v>573</v>
      </c>
      <c r="F5" s="101"/>
      <c r="G5" s="176"/>
      <c r="H5" s="176"/>
      <c r="I5" s="124"/>
      <c r="J5" s="131"/>
      <c r="K5" s="23"/>
      <c r="L5" s="16"/>
      <c r="M5" s="16"/>
      <c r="N5" s="16"/>
      <c r="O5" s="16"/>
      <c r="P5" s="16"/>
      <c r="Q5" s="16"/>
      <c r="R5" s="16"/>
      <c r="S5" s="16"/>
      <c r="T5" s="16"/>
      <c r="U5" s="16"/>
      <c r="V5" s="16"/>
      <c r="W5" s="16"/>
      <c r="X5" s="16"/>
      <c r="Y5" s="16"/>
    </row>
    <row r="6" spans="1:25" ht="24" customHeight="1" x14ac:dyDescent="0.3">
      <c r="A6" s="152" t="s">
        <v>574</v>
      </c>
      <c r="B6" s="148" t="s">
        <v>575</v>
      </c>
      <c r="C6" s="147" t="s">
        <v>576</v>
      </c>
      <c r="D6" s="147" t="s">
        <v>577</v>
      </c>
      <c r="E6" s="156">
        <v>31.76</v>
      </c>
      <c r="F6" s="115"/>
      <c r="G6" s="146">
        <v>160000000</v>
      </c>
      <c r="H6" s="146">
        <f>G6/E6</f>
        <v>5037783.3753148615</v>
      </c>
      <c r="I6" s="158">
        <v>2015</v>
      </c>
      <c r="J6" s="155"/>
      <c r="K6" s="23"/>
      <c r="L6" s="16"/>
      <c r="M6" s="16"/>
      <c r="N6" s="16"/>
      <c r="O6" s="16"/>
      <c r="P6" s="16"/>
      <c r="Q6" s="16"/>
      <c r="R6" s="16"/>
      <c r="S6" s="16"/>
      <c r="T6" s="16"/>
      <c r="U6" s="16"/>
      <c r="V6" s="16"/>
      <c r="W6" s="16"/>
      <c r="X6" s="16"/>
      <c r="Y6" s="16"/>
    </row>
    <row r="7" spans="1:25" ht="0.2" hidden="1" customHeight="1" x14ac:dyDescent="0.3">
      <c r="A7" s="153"/>
      <c r="B7" s="111"/>
      <c r="C7" s="111"/>
      <c r="D7" s="111"/>
      <c r="E7" s="124"/>
      <c r="F7" s="119"/>
      <c r="G7" s="111"/>
      <c r="H7" s="111"/>
      <c r="I7" s="124"/>
      <c r="J7" s="131"/>
      <c r="K7" s="23"/>
      <c r="L7" s="16"/>
      <c r="M7" s="16"/>
      <c r="N7" s="16"/>
      <c r="O7" s="16"/>
      <c r="P7" s="16"/>
      <c r="Q7" s="16"/>
      <c r="R7" s="16"/>
      <c r="S7" s="16"/>
      <c r="T7" s="16"/>
      <c r="U7" s="16"/>
      <c r="V7" s="16"/>
      <c r="W7" s="16"/>
      <c r="X7" s="16"/>
      <c r="Y7" s="16"/>
    </row>
    <row r="8" spans="1:25" ht="24" customHeight="1" x14ac:dyDescent="0.3">
      <c r="A8" s="152" t="s">
        <v>578</v>
      </c>
      <c r="B8" s="148" t="s">
        <v>579</v>
      </c>
      <c r="C8" s="147" t="s">
        <v>580</v>
      </c>
      <c r="D8" s="147" t="s">
        <v>581</v>
      </c>
      <c r="E8" s="156">
        <v>31.12</v>
      </c>
      <c r="F8" s="115"/>
      <c r="G8" s="146">
        <v>467250000</v>
      </c>
      <c r="H8" s="146">
        <f>G8/E8</f>
        <v>15014460.154241644</v>
      </c>
      <c r="I8" s="158">
        <v>2018</v>
      </c>
      <c r="J8" s="155"/>
      <c r="K8" s="23"/>
      <c r="L8" s="16"/>
      <c r="M8" s="16"/>
      <c r="N8" s="16"/>
      <c r="O8" s="16"/>
      <c r="P8" s="16"/>
      <c r="Q8" s="16"/>
      <c r="R8" s="16"/>
      <c r="S8" s="16"/>
      <c r="T8" s="16"/>
      <c r="U8" s="16"/>
      <c r="V8" s="16"/>
      <c r="W8" s="16"/>
      <c r="X8" s="16"/>
      <c r="Y8" s="16"/>
    </row>
    <row r="9" spans="1:25" ht="0.2" hidden="1" customHeight="1" x14ac:dyDescent="0.3">
      <c r="A9" s="153"/>
      <c r="B9" s="111"/>
      <c r="C9" s="111"/>
      <c r="D9" s="111"/>
      <c r="E9" s="124"/>
      <c r="F9" s="119"/>
      <c r="G9" s="111"/>
      <c r="H9" s="111"/>
      <c r="I9" s="124"/>
      <c r="J9" s="131"/>
      <c r="K9" s="23"/>
      <c r="L9" s="16"/>
      <c r="M9" s="16"/>
      <c r="N9" s="16"/>
      <c r="O9" s="16"/>
      <c r="P9" s="16"/>
      <c r="Q9" s="16"/>
      <c r="R9" s="16"/>
      <c r="S9" s="16"/>
      <c r="T9" s="16"/>
      <c r="U9" s="16"/>
      <c r="V9" s="16"/>
      <c r="W9" s="16"/>
      <c r="X9" s="16"/>
      <c r="Y9" s="16"/>
    </row>
    <row r="10" spans="1:25" ht="24" customHeight="1" x14ac:dyDescent="0.3">
      <c r="A10" s="152" t="s">
        <v>582</v>
      </c>
      <c r="B10" s="148" t="s">
        <v>583</v>
      </c>
      <c r="C10" s="147" t="s">
        <v>584</v>
      </c>
      <c r="D10" s="147" t="s">
        <v>585</v>
      </c>
      <c r="E10" s="156">
        <v>23.51</v>
      </c>
      <c r="F10" s="115"/>
      <c r="G10" s="146">
        <v>709700000</v>
      </c>
      <c r="H10" s="146">
        <f>G10/E10</f>
        <v>30187154.402381964</v>
      </c>
      <c r="I10" s="158">
        <v>2021</v>
      </c>
      <c r="J10" s="155"/>
      <c r="K10" s="23"/>
      <c r="L10" s="16"/>
      <c r="M10" s="16"/>
      <c r="N10" s="16"/>
      <c r="O10" s="16"/>
      <c r="P10" s="16"/>
      <c r="Q10" s="16"/>
      <c r="R10" s="16"/>
      <c r="S10" s="16"/>
      <c r="T10" s="16"/>
      <c r="U10" s="16"/>
      <c r="V10" s="16"/>
      <c r="W10" s="16"/>
      <c r="X10" s="16"/>
      <c r="Y10" s="16"/>
    </row>
    <row r="11" spans="1:25" ht="0.2" hidden="1" customHeight="1" x14ac:dyDescent="0.3">
      <c r="A11" s="153"/>
      <c r="B11" s="111"/>
      <c r="C11" s="111"/>
      <c r="D11" s="111"/>
      <c r="E11" s="124"/>
      <c r="F11" s="119"/>
      <c r="G11" s="111"/>
      <c r="H11" s="111"/>
      <c r="I11" s="124"/>
      <c r="J11" s="131"/>
      <c r="K11" s="23"/>
      <c r="L11" s="16"/>
      <c r="M11" s="16"/>
      <c r="N11" s="16"/>
      <c r="O11" s="16"/>
      <c r="P11" s="16"/>
      <c r="Q11" s="16"/>
      <c r="R11" s="16"/>
      <c r="S11" s="16"/>
      <c r="T11" s="16"/>
      <c r="U11" s="16"/>
      <c r="V11" s="16"/>
      <c r="W11" s="16"/>
      <c r="X11" s="16"/>
      <c r="Y11" s="16"/>
    </row>
    <row r="12" spans="1:25" ht="24" customHeight="1" x14ac:dyDescent="0.3">
      <c r="A12" s="152" t="s">
        <v>586</v>
      </c>
      <c r="B12" s="148" t="s">
        <v>587</v>
      </c>
      <c r="C12" s="147" t="s">
        <v>588</v>
      </c>
      <c r="D12" s="147" t="s">
        <v>589</v>
      </c>
      <c r="E12" s="156">
        <v>15.45</v>
      </c>
      <c r="F12" s="115"/>
      <c r="G12" s="146">
        <v>740000000</v>
      </c>
      <c r="H12" s="146">
        <f>G12/E12</f>
        <v>47896440.129449837</v>
      </c>
      <c r="I12" s="158">
        <v>2023</v>
      </c>
      <c r="J12" s="155"/>
      <c r="K12" s="23"/>
      <c r="L12" s="16"/>
      <c r="M12" s="16"/>
      <c r="N12" s="16"/>
      <c r="O12" s="16"/>
      <c r="P12" s="16"/>
      <c r="Q12" s="16"/>
      <c r="R12" s="16"/>
      <c r="S12" s="16"/>
      <c r="T12" s="16"/>
      <c r="U12" s="16"/>
      <c r="V12" s="16"/>
      <c r="W12" s="16"/>
      <c r="X12" s="16"/>
      <c r="Y12" s="16"/>
    </row>
    <row r="13" spans="1:25" ht="0.2" hidden="1" customHeight="1" x14ac:dyDescent="0.3">
      <c r="A13" s="153"/>
      <c r="B13" s="111"/>
      <c r="C13" s="111"/>
      <c r="D13" s="111"/>
      <c r="E13" s="124"/>
      <c r="F13" s="119"/>
      <c r="G13" s="111"/>
      <c r="H13" s="111"/>
      <c r="I13" s="124"/>
      <c r="J13" s="131"/>
      <c r="K13" s="23"/>
      <c r="L13" s="16"/>
      <c r="M13" s="16"/>
      <c r="N13" s="16"/>
      <c r="O13" s="16"/>
      <c r="P13" s="16"/>
      <c r="Q13" s="16"/>
      <c r="R13" s="16"/>
      <c r="S13" s="16"/>
      <c r="T13" s="16"/>
      <c r="U13" s="16"/>
      <c r="V13" s="16"/>
      <c r="W13" s="16"/>
      <c r="X13" s="16"/>
      <c r="Y13" s="16"/>
    </row>
    <row r="14" spans="1:25" ht="24" customHeight="1" x14ac:dyDescent="0.3">
      <c r="A14" s="74" t="s">
        <v>590</v>
      </c>
      <c r="B14" s="73" t="s">
        <v>591</v>
      </c>
      <c r="C14" s="73" t="s">
        <v>592</v>
      </c>
      <c r="D14" s="73" t="s">
        <v>581</v>
      </c>
      <c r="E14" s="156">
        <v>23.51</v>
      </c>
      <c r="F14" s="91"/>
      <c r="G14" s="72">
        <v>734320000</v>
      </c>
      <c r="H14" s="72">
        <v>31234368.353891961</v>
      </c>
      <c r="I14" s="158">
        <v>2021</v>
      </c>
      <c r="J14" s="106"/>
      <c r="K14" s="23"/>
      <c r="L14" s="16"/>
      <c r="M14" s="16"/>
      <c r="N14" s="16"/>
      <c r="O14" s="16"/>
      <c r="P14" s="16"/>
      <c r="Q14" s="16"/>
      <c r="R14" s="16"/>
      <c r="S14" s="16"/>
      <c r="T14" s="16"/>
      <c r="U14" s="16"/>
      <c r="V14" s="16"/>
      <c r="W14" s="16"/>
      <c r="X14" s="16"/>
      <c r="Y14" s="16"/>
    </row>
    <row r="15" spans="1:25" ht="24" customHeight="1" x14ac:dyDescent="0.3">
      <c r="A15" s="74" t="s">
        <v>593</v>
      </c>
      <c r="B15" s="73" t="s">
        <v>594</v>
      </c>
      <c r="C15" s="73" t="s">
        <v>592</v>
      </c>
      <c r="D15" s="73" t="s">
        <v>595</v>
      </c>
      <c r="E15" s="156">
        <v>23.51</v>
      </c>
      <c r="F15" s="91"/>
      <c r="G15" s="72">
        <v>611220000</v>
      </c>
      <c r="H15" s="72">
        <v>25998298.596341979</v>
      </c>
      <c r="I15" s="158">
        <v>2021</v>
      </c>
      <c r="J15" s="106"/>
      <c r="K15" s="23"/>
      <c r="L15" s="16"/>
      <c r="M15" s="16"/>
      <c r="N15" s="16"/>
      <c r="O15" s="16"/>
      <c r="P15" s="16"/>
      <c r="Q15" s="16"/>
      <c r="R15" s="16"/>
      <c r="S15" s="16"/>
      <c r="T15" s="16"/>
      <c r="U15" s="16"/>
      <c r="V15" s="16"/>
      <c r="W15" s="16"/>
      <c r="X15" s="16"/>
      <c r="Y15" s="16"/>
    </row>
    <row r="16" spans="1:25" ht="24" customHeight="1" x14ac:dyDescent="0.3">
      <c r="A16" s="152" t="s">
        <v>596</v>
      </c>
      <c r="B16" s="148" t="s">
        <v>597</v>
      </c>
      <c r="C16" s="147" t="s">
        <v>598</v>
      </c>
      <c r="D16" s="147" t="s">
        <v>599</v>
      </c>
      <c r="E16" s="156">
        <v>11.09</v>
      </c>
      <c r="F16" s="115"/>
      <c r="G16" s="146">
        <v>680000000</v>
      </c>
      <c r="H16" s="146">
        <f>G16/E16</f>
        <v>61316501.352569886</v>
      </c>
      <c r="I16" s="158">
        <v>2014</v>
      </c>
      <c r="J16" s="155"/>
      <c r="K16" s="23"/>
      <c r="L16" s="16"/>
      <c r="M16" s="16"/>
      <c r="N16" s="16"/>
      <c r="O16" s="16"/>
      <c r="P16" s="16"/>
      <c r="Q16" s="16"/>
      <c r="R16" s="16"/>
      <c r="S16" s="16"/>
      <c r="T16" s="16"/>
      <c r="U16" s="16"/>
      <c r="V16" s="16"/>
      <c r="W16" s="16"/>
      <c r="X16" s="16"/>
      <c r="Y16" s="16"/>
    </row>
    <row r="17" spans="1:25" ht="0.2" hidden="1" customHeight="1" x14ac:dyDescent="0.3">
      <c r="A17" s="153"/>
      <c r="B17" s="111"/>
      <c r="C17" s="111"/>
      <c r="D17" s="111"/>
      <c r="E17" s="124"/>
      <c r="F17" s="119"/>
      <c r="G17" s="111"/>
      <c r="H17" s="111"/>
      <c r="I17" s="124"/>
      <c r="J17" s="131"/>
      <c r="K17" s="23"/>
      <c r="L17" s="16"/>
      <c r="M17" s="16"/>
      <c r="N17" s="16"/>
      <c r="O17" s="16"/>
      <c r="P17" s="16"/>
      <c r="Q17" s="16"/>
      <c r="R17" s="16"/>
      <c r="S17" s="16"/>
      <c r="T17" s="16"/>
      <c r="U17" s="16"/>
      <c r="V17" s="16"/>
      <c r="W17" s="16"/>
      <c r="X17" s="16"/>
      <c r="Y17" s="16"/>
    </row>
    <row r="18" spans="1:25" ht="24" customHeight="1" x14ac:dyDescent="0.3">
      <c r="A18" s="152" t="s">
        <v>600</v>
      </c>
      <c r="B18" s="148" t="s">
        <v>597</v>
      </c>
      <c r="C18" s="147" t="s">
        <v>598</v>
      </c>
      <c r="D18" s="147" t="s">
        <v>599</v>
      </c>
      <c r="E18" s="156">
        <v>10.7</v>
      </c>
      <c r="F18" s="115"/>
      <c r="G18" s="146">
        <v>620000000</v>
      </c>
      <c r="H18" s="146">
        <f>G18/E18</f>
        <v>57943925.233644865</v>
      </c>
      <c r="I18" s="158">
        <v>2014</v>
      </c>
      <c r="J18" s="155"/>
      <c r="K18" s="23"/>
      <c r="L18" s="16"/>
      <c r="M18" s="16"/>
      <c r="N18" s="16"/>
      <c r="O18" s="16"/>
      <c r="P18" s="16"/>
      <c r="Q18" s="16"/>
      <c r="R18" s="16"/>
      <c r="S18" s="16"/>
      <c r="T18" s="16"/>
      <c r="U18" s="16"/>
      <c r="V18" s="16"/>
      <c r="W18" s="16"/>
      <c r="X18" s="16"/>
      <c r="Y18" s="16"/>
    </row>
    <row r="19" spans="1:25" ht="0.2" hidden="1" customHeight="1" x14ac:dyDescent="0.3">
      <c r="A19" s="153"/>
      <c r="B19" s="111"/>
      <c r="C19" s="111"/>
      <c r="D19" s="111"/>
      <c r="E19" s="124"/>
      <c r="F19" s="119"/>
      <c r="G19" s="111"/>
      <c r="H19" s="111"/>
      <c r="I19" s="124"/>
      <c r="J19" s="131"/>
      <c r="K19" s="23"/>
      <c r="L19" s="16"/>
      <c r="M19" s="16"/>
      <c r="N19" s="16"/>
      <c r="O19" s="16"/>
      <c r="P19" s="16"/>
      <c r="Q19" s="16"/>
      <c r="R19" s="16"/>
      <c r="S19" s="16"/>
      <c r="T19" s="16"/>
      <c r="U19" s="16"/>
      <c r="V19" s="16"/>
      <c r="W19" s="16"/>
      <c r="X19" s="16"/>
      <c r="Y19" s="16"/>
    </row>
    <row r="20" spans="1:25" ht="24" customHeight="1" x14ac:dyDescent="0.3">
      <c r="A20" s="152" t="s">
        <v>601</v>
      </c>
      <c r="B20" s="148" t="s">
        <v>602</v>
      </c>
      <c r="C20" s="147" t="s">
        <v>603</v>
      </c>
      <c r="D20" s="147" t="s">
        <v>581</v>
      </c>
      <c r="E20" s="156">
        <v>26.41</v>
      </c>
      <c r="F20" s="115"/>
      <c r="G20" s="146">
        <v>633861000</v>
      </c>
      <c r="H20" s="146">
        <f>G20/E20</f>
        <v>24000795.153351001</v>
      </c>
      <c r="I20" s="158">
        <v>2022</v>
      </c>
      <c r="J20" s="155"/>
      <c r="K20" s="23"/>
      <c r="L20" s="16"/>
      <c r="M20" s="16"/>
      <c r="N20" s="16"/>
      <c r="O20" s="16"/>
      <c r="P20" s="16"/>
      <c r="Q20" s="16"/>
      <c r="R20" s="16"/>
      <c r="S20" s="16"/>
      <c r="T20" s="16"/>
      <c r="U20" s="16"/>
      <c r="V20" s="16"/>
      <c r="W20" s="16"/>
      <c r="X20" s="16"/>
      <c r="Y20" s="16"/>
    </row>
    <row r="21" spans="1:25" ht="0.2" hidden="1" customHeight="1" x14ac:dyDescent="0.3">
      <c r="A21" s="153"/>
      <c r="B21" s="111"/>
      <c r="C21" s="111"/>
      <c r="D21" s="111"/>
      <c r="E21" s="124"/>
      <c r="F21" s="119"/>
      <c r="G21" s="111"/>
      <c r="H21" s="111"/>
      <c r="I21" s="124"/>
      <c r="J21" s="131"/>
      <c r="K21" s="23"/>
      <c r="L21" s="16"/>
      <c r="M21" s="16"/>
      <c r="N21" s="16"/>
      <c r="O21" s="16"/>
      <c r="P21" s="16"/>
      <c r="Q21" s="16"/>
      <c r="R21" s="16"/>
      <c r="S21" s="16"/>
      <c r="T21" s="16"/>
      <c r="U21" s="16"/>
      <c r="V21" s="16"/>
      <c r="W21" s="16"/>
      <c r="X21" s="16"/>
      <c r="Y21" s="16"/>
    </row>
    <row r="22" spans="1:25" ht="24" customHeight="1" x14ac:dyDescent="0.3">
      <c r="A22" s="74" t="s">
        <v>604</v>
      </c>
      <c r="B22" s="73" t="s">
        <v>602</v>
      </c>
      <c r="C22" s="73" t="s">
        <v>605</v>
      </c>
      <c r="D22" s="73" t="s">
        <v>585</v>
      </c>
      <c r="E22" s="156">
        <v>26.41</v>
      </c>
      <c r="F22" s="91"/>
      <c r="G22" s="72">
        <v>510930000</v>
      </c>
      <c r="H22" s="72">
        <v>19346081.029912911</v>
      </c>
      <c r="I22" s="158" t="s">
        <v>606</v>
      </c>
      <c r="J22" s="106"/>
      <c r="K22" s="23"/>
      <c r="L22" s="16"/>
      <c r="M22" s="16"/>
      <c r="N22" s="16"/>
      <c r="O22" s="16"/>
      <c r="P22" s="16"/>
      <c r="Q22" s="16"/>
      <c r="R22" s="16"/>
      <c r="S22" s="16"/>
      <c r="T22" s="16"/>
      <c r="U22" s="16"/>
      <c r="V22" s="16"/>
      <c r="W22" s="16"/>
      <c r="X22" s="16"/>
      <c r="Y22" s="16"/>
    </row>
    <row r="23" spans="1:25" ht="24" customHeight="1" x14ac:dyDescent="0.3">
      <c r="A23" s="74" t="s">
        <v>607</v>
      </c>
      <c r="B23" s="73" t="s">
        <v>608</v>
      </c>
      <c r="C23" s="73" t="s">
        <v>609</v>
      </c>
      <c r="D23" s="73" t="s">
        <v>585</v>
      </c>
      <c r="E23" s="156">
        <v>21.09</v>
      </c>
      <c r="F23" s="91"/>
      <c r="G23" s="72">
        <v>278030000</v>
      </c>
      <c r="H23" s="72">
        <v>13183025.13039355</v>
      </c>
      <c r="I23" s="158">
        <v>2020</v>
      </c>
      <c r="J23" s="106"/>
      <c r="K23" s="23"/>
      <c r="L23" s="16"/>
      <c r="M23" s="16"/>
      <c r="N23" s="16"/>
      <c r="O23" s="16"/>
      <c r="P23" s="16"/>
      <c r="Q23" s="16"/>
      <c r="R23" s="16"/>
      <c r="S23" s="16"/>
      <c r="T23" s="16"/>
      <c r="U23" s="16"/>
      <c r="V23" s="16"/>
      <c r="W23" s="16"/>
      <c r="X23" s="16"/>
      <c r="Y23" s="16"/>
    </row>
    <row r="24" spans="1:25" ht="21.95" customHeight="1" x14ac:dyDescent="0.3">
      <c r="A24" s="198" t="s">
        <v>610</v>
      </c>
      <c r="B24" s="172"/>
      <c r="C24" s="115"/>
      <c r="D24" s="183"/>
      <c r="E24" s="182"/>
      <c r="F24" s="115"/>
      <c r="G24" s="193"/>
      <c r="H24" s="157">
        <f>AVERAGE(H4:H21)</f>
        <v>33181080.750131998</v>
      </c>
      <c r="I24" s="154"/>
      <c r="J24" s="155"/>
      <c r="K24" s="23"/>
      <c r="L24" s="16"/>
      <c r="M24" s="16"/>
      <c r="N24" s="16"/>
      <c r="O24" s="16"/>
      <c r="P24" s="16"/>
      <c r="Q24" s="16"/>
      <c r="R24" s="16"/>
      <c r="S24" s="16"/>
      <c r="T24" s="16"/>
      <c r="U24" s="16"/>
      <c r="V24" s="16"/>
      <c r="W24" s="16"/>
      <c r="X24" s="16"/>
      <c r="Y24" s="16"/>
    </row>
    <row r="25" spans="1:25" ht="0.2" hidden="1" customHeight="1" x14ac:dyDescent="0.3">
      <c r="A25" s="199"/>
      <c r="B25" s="200"/>
      <c r="C25" s="119"/>
      <c r="D25" s="111"/>
      <c r="E25" s="124"/>
      <c r="F25" s="119"/>
      <c r="G25" s="111"/>
      <c r="H25" s="111"/>
      <c r="I25" s="124"/>
      <c r="J25" s="131"/>
      <c r="K25" s="23"/>
      <c r="L25" s="16"/>
      <c r="M25" s="16"/>
      <c r="N25" s="16"/>
      <c r="O25" s="16"/>
      <c r="P25" s="16"/>
      <c r="Q25" s="16"/>
      <c r="R25" s="16"/>
      <c r="S25" s="16"/>
      <c r="T25" s="16"/>
      <c r="U25" s="16"/>
      <c r="V25" s="16"/>
      <c r="W25" s="16"/>
      <c r="X25" s="16"/>
      <c r="Y25" s="16"/>
    </row>
    <row r="26" spans="1:25" ht="21.95" customHeight="1" x14ac:dyDescent="0.3">
      <c r="A26" s="171" t="s">
        <v>611</v>
      </c>
      <c r="B26" s="172"/>
      <c r="C26" s="115"/>
      <c r="D26" s="185"/>
      <c r="E26" s="168"/>
      <c r="F26" s="115"/>
      <c r="G26" s="184"/>
      <c r="H26" s="144">
        <f>AVERAGE(H6,H8,H10,H14,H15,H20,H22,H23)</f>
        <v>20500245.774478734</v>
      </c>
      <c r="I26" s="186"/>
      <c r="J26" s="155"/>
      <c r="K26" s="23"/>
      <c r="L26" s="16"/>
      <c r="M26" s="16"/>
      <c r="N26" s="16"/>
      <c r="O26" s="16"/>
      <c r="P26" s="16"/>
      <c r="Q26" s="16"/>
      <c r="R26" s="16"/>
      <c r="S26" s="16"/>
      <c r="T26" s="16"/>
      <c r="U26" s="16"/>
      <c r="V26" s="16"/>
      <c r="W26" s="16"/>
      <c r="X26" s="16"/>
      <c r="Y26" s="16"/>
    </row>
    <row r="27" spans="1:25" ht="0.2" hidden="1" customHeight="1" x14ac:dyDescent="0.3">
      <c r="A27" s="173"/>
      <c r="B27" s="174"/>
      <c r="C27" s="169"/>
      <c r="D27" s="145"/>
      <c r="E27" s="162"/>
      <c r="F27" s="169"/>
      <c r="G27" s="145"/>
      <c r="H27" s="145"/>
      <c r="I27" s="162"/>
      <c r="J27" s="187"/>
      <c r="K27" s="51"/>
      <c r="L27" s="16"/>
      <c r="M27" s="16"/>
      <c r="N27" s="16"/>
      <c r="O27" s="16"/>
      <c r="P27" s="16"/>
      <c r="Q27" s="16"/>
      <c r="R27" s="16"/>
      <c r="S27" s="16"/>
      <c r="T27" s="16"/>
      <c r="U27" s="16"/>
      <c r="V27" s="16"/>
      <c r="W27" s="16"/>
      <c r="X27" s="16"/>
      <c r="Y27" s="16"/>
    </row>
    <row r="28" spans="1:25" ht="0.2" hidden="1" customHeight="1" x14ac:dyDescent="0.3">
      <c r="A28" s="5"/>
      <c r="B28" s="5"/>
      <c r="C28" s="5"/>
      <c r="D28" s="5"/>
      <c r="E28" s="82"/>
      <c r="F28" s="83"/>
      <c r="G28" s="84"/>
      <c r="H28" s="84"/>
      <c r="I28" s="5"/>
      <c r="J28" s="5"/>
      <c r="K28" s="51"/>
      <c r="L28" s="16"/>
      <c r="M28" s="16"/>
      <c r="N28" s="16"/>
      <c r="O28" s="16"/>
      <c r="P28" s="16"/>
      <c r="Q28" s="16"/>
      <c r="R28" s="16"/>
      <c r="S28" s="16"/>
      <c r="T28" s="16"/>
      <c r="U28" s="16"/>
      <c r="V28" s="16"/>
      <c r="W28" s="16"/>
      <c r="X28" s="16"/>
      <c r="Y28" s="16"/>
    </row>
    <row r="29" spans="1:25" s="65" customFormat="1" ht="0.2" customHeight="1" x14ac:dyDescent="0.3">
      <c r="A29" s="25"/>
      <c r="B29" s="25"/>
      <c r="C29" s="25"/>
      <c r="D29" s="25"/>
      <c r="E29" s="85"/>
      <c r="F29" s="86"/>
      <c r="G29" s="87"/>
      <c r="H29" s="87"/>
      <c r="I29" s="25"/>
      <c r="J29" s="25"/>
      <c r="K29" s="70"/>
      <c r="L29" s="26"/>
      <c r="M29" s="26"/>
      <c r="N29" s="26"/>
      <c r="O29" s="26"/>
      <c r="P29" s="26"/>
      <c r="Q29" s="26"/>
      <c r="R29" s="26"/>
      <c r="S29" s="26"/>
      <c r="T29" s="26"/>
      <c r="U29" s="26"/>
      <c r="V29" s="26"/>
      <c r="W29" s="26"/>
      <c r="X29" s="26"/>
      <c r="Y29" s="26"/>
    </row>
    <row r="30" spans="1:25" ht="21.95" customHeight="1" x14ac:dyDescent="0.3">
      <c r="A30" s="29" t="s">
        <v>612</v>
      </c>
      <c r="B30" s="30"/>
      <c r="C30" s="30"/>
      <c r="D30" s="30"/>
      <c r="E30" s="30"/>
      <c r="F30" s="30"/>
      <c r="G30" s="30"/>
      <c r="H30" s="31"/>
      <c r="I30" s="30"/>
      <c r="J30" s="31"/>
      <c r="K30" s="31"/>
      <c r="L30" s="32" t="s">
        <v>568</v>
      </c>
      <c r="M30" s="16"/>
      <c r="N30" s="16"/>
      <c r="O30" s="16"/>
      <c r="P30" s="16"/>
      <c r="Q30" s="16"/>
      <c r="R30" s="16"/>
      <c r="S30" s="16"/>
      <c r="T30" s="16"/>
      <c r="U30" s="16"/>
      <c r="V30" s="16"/>
      <c r="W30" s="16"/>
      <c r="X30" s="16"/>
      <c r="Y30" s="16"/>
    </row>
    <row r="31" spans="1:25" ht="24" customHeight="1" x14ac:dyDescent="0.3">
      <c r="A31" s="195" t="s">
        <v>124</v>
      </c>
      <c r="B31" s="175" t="s">
        <v>509</v>
      </c>
      <c r="C31" s="129"/>
      <c r="D31" s="175" t="s">
        <v>25</v>
      </c>
      <c r="E31" s="181" t="s">
        <v>613</v>
      </c>
      <c r="F31" s="94"/>
      <c r="G31" s="175" t="s">
        <v>570</v>
      </c>
      <c r="H31" s="175" t="s">
        <v>571</v>
      </c>
      <c r="I31" s="181" t="s">
        <v>614</v>
      </c>
      <c r="J31" s="129"/>
      <c r="K31" s="149" t="s">
        <v>615</v>
      </c>
      <c r="L31" s="150"/>
      <c r="M31" s="16"/>
      <c r="N31" s="16"/>
      <c r="O31" s="16"/>
      <c r="P31" s="16"/>
      <c r="Q31" s="16"/>
      <c r="R31" s="16"/>
      <c r="S31" s="16"/>
      <c r="T31" s="16"/>
      <c r="U31" s="16"/>
      <c r="V31" s="16"/>
      <c r="W31" s="16"/>
      <c r="X31" s="16"/>
      <c r="Y31" s="16"/>
    </row>
    <row r="32" spans="1:25" ht="24" customHeight="1" x14ac:dyDescent="0.3">
      <c r="A32" s="153"/>
      <c r="B32" s="201"/>
      <c r="C32" s="202"/>
      <c r="D32" s="176"/>
      <c r="E32" s="178" t="s">
        <v>573</v>
      </c>
      <c r="F32" s="101"/>
      <c r="G32" s="176"/>
      <c r="H32" s="176"/>
      <c r="I32" s="124"/>
      <c r="J32" s="119"/>
      <c r="K32" s="124"/>
      <c r="L32" s="151"/>
      <c r="M32" s="16"/>
      <c r="N32" s="16"/>
      <c r="O32" s="16"/>
      <c r="P32" s="16"/>
      <c r="Q32" s="16"/>
      <c r="R32" s="16"/>
      <c r="S32" s="16"/>
      <c r="T32" s="16"/>
      <c r="U32" s="16"/>
      <c r="V32" s="16"/>
      <c r="W32" s="16"/>
      <c r="X32" s="16"/>
      <c r="Y32" s="16"/>
    </row>
    <row r="33" spans="1:25" ht="24" customHeight="1" x14ac:dyDescent="0.3">
      <c r="A33" s="152" t="s">
        <v>574</v>
      </c>
      <c r="B33" s="147" t="s">
        <v>616</v>
      </c>
      <c r="C33" s="115"/>
      <c r="D33" s="147" t="s">
        <v>617</v>
      </c>
      <c r="E33" s="156">
        <v>104.02</v>
      </c>
      <c r="F33" s="115"/>
      <c r="G33" s="146">
        <v>4500000000</v>
      </c>
      <c r="H33" s="146">
        <f>G33/E33</f>
        <v>43260911.363199383</v>
      </c>
      <c r="I33" s="147">
        <v>2018</v>
      </c>
      <c r="J33" s="115"/>
      <c r="K33" s="177"/>
      <c r="L33" s="161"/>
      <c r="M33" s="16"/>
      <c r="N33" s="16"/>
      <c r="O33" s="16"/>
      <c r="P33" s="16"/>
      <c r="Q33" s="16"/>
      <c r="R33" s="16"/>
      <c r="S33" s="16"/>
      <c r="T33" s="16"/>
      <c r="U33" s="16"/>
      <c r="V33" s="16"/>
      <c r="W33" s="16"/>
      <c r="X33" s="16"/>
      <c r="Y33" s="16"/>
    </row>
    <row r="34" spans="1:25" ht="0.2" hidden="1" customHeight="1" x14ac:dyDescent="0.3">
      <c r="A34" s="153"/>
      <c r="B34" s="124"/>
      <c r="C34" s="119"/>
      <c r="D34" s="111"/>
      <c r="E34" s="124"/>
      <c r="F34" s="119"/>
      <c r="G34" s="111"/>
      <c r="H34" s="111"/>
      <c r="I34" s="124"/>
      <c r="J34" s="119"/>
      <c r="K34" s="124"/>
      <c r="L34" s="151"/>
      <c r="M34" s="16"/>
      <c r="N34" s="16"/>
      <c r="O34" s="16"/>
      <c r="P34" s="16"/>
      <c r="Q34" s="16"/>
      <c r="R34" s="16"/>
      <c r="S34" s="16"/>
      <c r="T34" s="16"/>
      <c r="U34" s="16"/>
      <c r="V34" s="16"/>
      <c r="W34" s="16"/>
      <c r="X34" s="16"/>
      <c r="Y34" s="16"/>
    </row>
    <row r="35" spans="1:25" ht="24" customHeight="1" x14ac:dyDescent="0.3">
      <c r="A35" s="152" t="s">
        <v>578</v>
      </c>
      <c r="B35" s="147" t="s">
        <v>618</v>
      </c>
      <c r="C35" s="115"/>
      <c r="D35" s="147" t="s">
        <v>619</v>
      </c>
      <c r="E35" s="156">
        <v>9.81</v>
      </c>
      <c r="F35" s="115"/>
      <c r="G35" s="146">
        <v>400000000</v>
      </c>
      <c r="H35" s="146">
        <f>G35/E35</f>
        <v>40774719.673802242</v>
      </c>
      <c r="I35" s="147">
        <v>2018</v>
      </c>
      <c r="J35" s="115"/>
      <c r="K35" s="177" t="s">
        <v>620</v>
      </c>
      <c r="L35" s="161"/>
      <c r="M35" s="16"/>
      <c r="N35" s="16"/>
      <c r="O35" s="16"/>
      <c r="P35" s="16"/>
      <c r="Q35" s="16"/>
      <c r="R35" s="16"/>
      <c r="S35" s="16"/>
      <c r="T35" s="16"/>
      <c r="U35" s="16"/>
      <c r="V35" s="16"/>
      <c r="W35" s="16"/>
      <c r="X35" s="16"/>
      <c r="Y35" s="16"/>
    </row>
    <row r="36" spans="1:25" ht="0.2" hidden="1" customHeight="1" x14ac:dyDescent="0.3">
      <c r="A36" s="153"/>
      <c r="B36" s="124"/>
      <c r="C36" s="119"/>
      <c r="D36" s="111"/>
      <c r="E36" s="124"/>
      <c r="F36" s="119"/>
      <c r="G36" s="111"/>
      <c r="H36" s="111"/>
      <c r="I36" s="124"/>
      <c r="J36" s="119"/>
      <c r="K36" s="124"/>
      <c r="L36" s="151"/>
      <c r="M36" s="16"/>
      <c r="N36" s="16"/>
      <c r="O36" s="16"/>
      <c r="P36" s="16"/>
      <c r="Q36" s="16"/>
      <c r="R36" s="16"/>
      <c r="S36" s="16"/>
      <c r="T36" s="16"/>
      <c r="U36" s="16"/>
      <c r="V36" s="16"/>
      <c r="W36" s="16"/>
      <c r="X36" s="16"/>
      <c r="Y36" s="16"/>
    </row>
    <row r="37" spans="1:25" ht="24" customHeight="1" x14ac:dyDescent="0.3">
      <c r="A37" s="152" t="s">
        <v>582</v>
      </c>
      <c r="B37" s="147" t="s">
        <v>618</v>
      </c>
      <c r="C37" s="115"/>
      <c r="D37" s="147" t="s">
        <v>619</v>
      </c>
      <c r="E37" s="156">
        <v>9.69</v>
      </c>
      <c r="F37" s="115"/>
      <c r="G37" s="146">
        <v>710000000</v>
      </c>
      <c r="H37" s="146">
        <f>G37/E37</f>
        <v>73271413.828689381</v>
      </c>
      <c r="I37" s="147">
        <v>2018</v>
      </c>
      <c r="J37" s="115"/>
      <c r="K37" s="177" t="s">
        <v>621</v>
      </c>
      <c r="L37" s="161"/>
      <c r="M37" s="16"/>
      <c r="N37" s="16"/>
      <c r="O37" s="16"/>
      <c r="P37" s="16"/>
      <c r="Q37" s="16"/>
      <c r="R37" s="16"/>
      <c r="S37" s="16"/>
      <c r="T37" s="16"/>
      <c r="U37" s="16"/>
      <c r="V37" s="16"/>
      <c r="W37" s="16"/>
      <c r="X37" s="16"/>
      <c r="Y37" s="16"/>
    </row>
    <row r="38" spans="1:25" ht="0.2" hidden="1" customHeight="1" x14ac:dyDescent="0.3">
      <c r="A38" s="153"/>
      <c r="B38" s="124"/>
      <c r="C38" s="119"/>
      <c r="D38" s="111"/>
      <c r="E38" s="124"/>
      <c r="F38" s="119"/>
      <c r="G38" s="111"/>
      <c r="H38" s="111"/>
      <c r="I38" s="124"/>
      <c r="J38" s="119"/>
      <c r="K38" s="124"/>
      <c r="L38" s="151"/>
      <c r="M38" s="16"/>
      <c r="N38" s="16"/>
      <c r="O38" s="16"/>
      <c r="P38" s="16"/>
      <c r="Q38" s="16"/>
      <c r="R38" s="16"/>
      <c r="S38" s="16"/>
      <c r="T38" s="16"/>
      <c r="U38" s="16"/>
      <c r="V38" s="16"/>
      <c r="W38" s="16"/>
      <c r="X38" s="16"/>
      <c r="Y38" s="16"/>
    </row>
    <row r="39" spans="1:25" ht="24" customHeight="1" x14ac:dyDescent="0.3">
      <c r="A39" s="152" t="s">
        <v>586</v>
      </c>
      <c r="B39" s="147" t="s">
        <v>618</v>
      </c>
      <c r="C39" s="115"/>
      <c r="D39" s="147" t="s">
        <v>619</v>
      </c>
      <c r="E39" s="156">
        <v>9.85</v>
      </c>
      <c r="F39" s="115"/>
      <c r="G39" s="146">
        <v>650000000</v>
      </c>
      <c r="H39" s="146">
        <f>G39/E39</f>
        <v>65989847.715736046</v>
      </c>
      <c r="I39" s="147">
        <v>2018</v>
      </c>
      <c r="J39" s="115"/>
      <c r="K39" s="177" t="s">
        <v>622</v>
      </c>
      <c r="L39" s="161"/>
      <c r="M39" s="16"/>
      <c r="N39" s="16"/>
      <c r="O39" s="16"/>
      <c r="P39" s="16"/>
      <c r="Q39" s="16"/>
      <c r="R39" s="16"/>
      <c r="S39" s="16"/>
      <c r="T39" s="16"/>
      <c r="U39" s="16"/>
      <c r="V39" s="16"/>
      <c r="W39" s="16"/>
      <c r="X39" s="16"/>
      <c r="Y39" s="16"/>
    </row>
    <row r="40" spans="1:25" ht="0.2" hidden="1" customHeight="1" x14ac:dyDescent="0.3">
      <c r="A40" s="153"/>
      <c r="B40" s="124"/>
      <c r="C40" s="119"/>
      <c r="D40" s="111"/>
      <c r="E40" s="124"/>
      <c r="F40" s="119"/>
      <c r="G40" s="111"/>
      <c r="H40" s="111"/>
      <c r="I40" s="124"/>
      <c r="J40" s="119"/>
      <c r="K40" s="124"/>
      <c r="L40" s="151"/>
      <c r="M40" s="16"/>
      <c r="N40" s="16"/>
      <c r="O40" s="16"/>
      <c r="P40" s="16"/>
      <c r="Q40" s="16"/>
      <c r="R40" s="16"/>
      <c r="S40" s="16"/>
      <c r="T40" s="16"/>
      <c r="U40" s="16"/>
      <c r="V40" s="16"/>
      <c r="W40" s="16"/>
      <c r="X40" s="16"/>
      <c r="Y40" s="16"/>
    </row>
    <row r="41" spans="1:25" ht="24" customHeight="1" x14ac:dyDescent="0.3">
      <c r="A41" s="152" t="s">
        <v>590</v>
      </c>
      <c r="B41" s="147" t="s">
        <v>623</v>
      </c>
      <c r="C41" s="115"/>
      <c r="D41" s="147" t="s">
        <v>624</v>
      </c>
      <c r="E41" s="156">
        <v>20.64</v>
      </c>
      <c r="F41" s="115"/>
      <c r="G41" s="146">
        <v>400000000</v>
      </c>
      <c r="H41" s="146">
        <f>G41/E41</f>
        <v>19379844.96124031</v>
      </c>
      <c r="I41" s="147">
        <v>2021</v>
      </c>
      <c r="J41" s="115"/>
      <c r="K41" s="177" t="s">
        <v>625</v>
      </c>
      <c r="L41" s="161"/>
      <c r="M41" s="16"/>
      <c r="N41" s="16"/>
      <c r="O41" s="16"/>
      <c r="P41" s="16"/>
      <c r="Q41" s="16"/>
      <c r="R41" s="16"/>
      <c r="S41" s="16"/>
      <c r="T41" s="16"/>
      <c r="U41" s="16"/>
      <c r="V41" s="16"/>
      <c r="W41" s="16"/>
      <c r="X41" s="16"/>
      <c r="Y41" s="16"/>
    </row>
    <row r="42" spans="1:25" ht="0.2" hidden="1" customHeight="1" x14ac:dyDescent="0.3">
      <c r="A42" s="153"/>
      <c r="B42" s="124"/>
      <c r="C42" s="119"/>
      <c r="D42" s="111"/>
      <c r="E42" s="124"/>
      <c r="F42" s="119"/>
      <c r="G42" s="111"/>
      <c r="H42" s="111"/>
      <c r="I42" s="124"/>
      <c r="J42" s="119"/>
      <c r="K42" s="124"/>
      <c r="L42" s="151"/>
      <c r="M42" s="16"/>
      <c r="N42" s="16"/>
      <c r="O42" s="16"/>
      <c r="P42" s="16"/>
      <c r="Q42" s="16"/>
      <c r="R42" s="16"/>
      <c r="S42" s="16"/>
      <c r="T42" s="16"/>
      <c r="U42" s="16"/>
      <c r="V42" s="16"/>
      <c r="W42" s="16"/>
      <c r="X42" s="16"/>
      <c r="Y42" s="16"/>
    </row>
    <row r="43" spans="1:25" ht="24" customHeight="1" x14ac:dyDescent="0.3">
      <c r="A43" s="152" t="s">
        <v>593</v>
      </c>
      <c r="B43" s="147" t="s">
        <v>626</v>
      </c>
      <c r="C43" s="115"/>
      <c r="D43" s="147" t="s">
        <v>619</v>
      </c>
      <c r="E43" s="156">
        <v>10.16</v>
      </c>
      <c r="F43" s="115"/>
      <c r="G43" s="146">
        <v>530000000</v>
      </c>
      <c r="H43" s="146">
        <f>G43/E43</f>
        <v>52165354.33070866</v>
      </c>
      <c r="I43" s="147">
        <v>2019</v>
      </c>
      <c r="J43" s="115"/>
      <c r="K43" s="177" t="s">
        <v>627</v>
      </c>
      <c r="L43" s="161"/>
      <c r="M43" s="16"/>
      <c r="N43" s="16"/>
      <c r="O43" s="16"/>
      <c r="P43" s="16"/>
      <c r="Q43" s="16"/>
      <c r="R43" s="16"/>
      <c r="S43" s="16"/>
      <c r="T43" s="16"/>
      <c r="U43" s="16"/>
      <c r="V43" s="16"/>
      <c r="W43" s="16"/>
      <c r="X43" s="16"/>
      <c r="Y43" s="16"/>
    </row>
    <row r="44" spans="1:25" ht="0.2" hidden="1" customHeight="1" x14ac:dyDescent="0.3">
      <c r="A44" s="153"/>
      <c r="B44" s="124"/>
      <c r="C44" s="119"/>
      <c r="D44" s="111"/>
      <c r="E44" s="124"/>
      <c r="F44" s="119"/>
      <c r="G44" s="111"/>
      <c r="H44" s="111"/>
      <c r="I44" s="124"/>
      <c r="J44" s="119"/>
      <c r="K44" s="124"/>
      <c r="L44" s="151"/>
      <c r="M44" s="16"/>
      <c r="N44" s="16"/>
      <c r="O44" s="16"/>
      <c r="P44" s="16"/>
      <c r="Q44" s="16"/>
      <c r="R44" s="16"/>
      <c r="S44" s="16"/>
      <c r="T44" s="16"/>
      <c r="U44" s="16"/>
      <c r="V44" s="16"/>
      <c r="W44" s="16"/>
      <c r="X44" s="16"/>
      <c r="Y44" s="16"/>
    </row>
    <row r="45" spans="1:25" ht="24" customHeight="1" x14ac:dyDescent="0.3">
      <c r="A45" s="152" t="s">
        <v>596</v>
      </c>
      <c r="B45" s="147" t="s">
        <v>628</v>
      </c>
      <c r="C45" s="115"/>
      <c r="D45" s="159" t="s">
        <v>629</v>
      </c>
      <c r="E45" s="156">
        <v>40.950000000000003</v>
      </c>
      <c r="F45" s="115"/>
      <c r="G45" s="146">
        <v>580000000</v>
      </c>
      <c r="H45" s="146">
        <f>G45/E45</f>
        <v>14163614.163614163</v>
      </c>
      <c r="I45" s="147">
        <v>2014</v>
      </c>
      <c r="J45" s="115"/>
      <c r="K45" s="177" t="s">
        <v>630</v>
      </c>
      <c r="L45" s="161"/>
      <c r="M45" s="16"/>
      <c r="N45" s="16"/>
      <c r="O45" s="16"/>
      <c r="P45" s="16"/>
      <c r="Q45" s="16"/>
      <c r="R45" s="16"/>
      <c r="S45" s="16"/>
      <c r="T45" s="16"/>
      <c r="U45" s="16"/>
      <c r="V45" s="16"/>
      <c r="W45" s="16"/>
      <c r="X45" s="16"/>
      <c r="Y45" s="16"/>
    </row>
    <row r="46" spans="1:25" ht="0.2" hidden="1" customHeight="1" x14ac:dyDescent="0.3">
      <c r="A46" s="153"/>
      <c r="B46" s="124"/>
      <c r="C46" s="119"/>
      <c r="D46" s="111"/>
      <c r="E46" s="124"/>
      <c r="F46" s="119"/>
      <c r="G46" s="111"/>
      <c r="H46" s="111"/>
      <c r="I46" s="124"/>
      <c r="J46" s="119"/>
      <c r="K46" s="124"/>
      <c r="L46" s="151"/>
      <c r="M46" s="16"/>
      <c r="N46" s="16"/>
      <c r="O46" s="16"/>
      <c r="P46" s="16"/>
      <c r="Q46" s="16"/>
      <c r="R46" s="16"/>
      <c r="S46" s="16"/>
      <c r="T46" s="16"/>
      <c r="U46" s="16"/>
      <c r="V46" s="16"/>
      <c r="W46" s="16"/>
      <c r="X46" s="16"/>
      <c r="Y46" s="16"/>
    </row>
    <row r="47" spans="1:25" ht="24" customHeight="1" x14ac:dyDescent="0.3">
      <c r="A47" s="152" t="s">
        <v>600</v>
      </c>
      <c r="B47" s="147" t="s">
        <v>631</v>
      </c>
      <c r="C47" s="115"/>
      <c r="D47" s="159" t="s">
        <v>632</v>
      </c>
      <c r="E47" s="156">
        <v>26.68</v>
      </c>
      <c r="F47" s="115"/>
      <c r="G47" s="146">
        <v>290000000</v>
      </c>
      <c r="H47" s="146">
        <f>G47/E47</f>
        <v>10869565.217391305</v>
      </c>
      <c r="I47" s="147">
        <v>2021</v>
      </c>
      <c r="J47" s="115"/>
      <c r="K47" s="177" t="s">
        <v>633</v>
      </c>
      <c r="L47" s="161"/>
      <c r="M47" s="16"/>
      <c r="N47" s="16"/>
      <c r="O47" s="16"/>
      <c r="P47" s="16"/>
      <c r="Q47" s="16"/>
      <c r="R47" s="16"/>
      <c r="S47" s="16"/>
      <c r="T47" s="16"/>
      <c r="U47" s="16"/>
      <c r="V47" s="16"/>
      <c r="W47" s="16"/>
      <c r="X47" s="16"/>
      <c r="Y47" s="16"/>
    </row>
    <row r="48" spans="1:25" ht="0.2" hidden="1" customHeight="1" x14ac:dyDescent="0.3">
      <c r="A48" s="153"/>
      <c r="B48" s="124"/>
      <c r="C48" s="119"/>
      <c r="D48" s="111"/>
      <c r="E48" s="124"/>
      <c r="F48" s="119"/>
      <c r="G48" s="111"/>
      <c r="H48" s="111"/>
      <c r="I48" s="124"/>
      <c r="J48" s="119"/>
      <c r="K48" s="124"/>
      <c r="L48" s="151"/>
      <c r="M48" s="16"/>
      <c r="N48" s="16"/>
      <c r="O48" s="16"/>
      <c r="P48" s="16"/>
      <c r="Q48" s="16"/>
      <c r="R48" s="16"/>
      <c r="S48" s="16"/>
      <c r="T48" s="16"/>
      <c r="U48" s="16"/>
      <c r="V48" s="16"/>
      <c r="W48" s="16"/>
      <c r="X48" s="16"/>
      <c r="Y48" s="16"/>
    </row>
    <row r="49" spans="1:25" ht="24" customHeight="1" x14ac:dyDescent="0.3">
      <c r="A49" s="152" t="s">
        <v>601</v>
      </c>
      <c r="B49" s="147" t="s">
        <v>634</v>
      </c>
      <c r="C49" s="115"/>
      <c r="D49" s="159" t="s">
        <v>581</v>
      </c>
      <c r="E49" s="156">
        <v>8.7100000000000009</v>
      </c>
      <c r="F49" s="115"/>
      <c r="G49" s="146">
        <v>135000000</v>
      </c>
      <c r="H49" s="146">
        <f>G49/E49</f>
        <v>15499425.947187141</v>
      </c>
      <c r="I49" s="147">
        <v>2021</v>
      </c>
      <c r="J49" s="115"/>
      <c r="K49" s="177" t="s">
        <v>635</v>
      </c>
      <c r="L49" s="161"/>
      <c r="M49" s="16"/>
      <c r="N49" s="16"/>
      <c r="O49" s="16"/>
      <c r="P49" s="16"/>
      <c r="Q49" s="16"/>
      <c r="R49" s="16"/>
      <c r="S49" s="16"/>
      <c r="T49" s="16"/>
      <c r="U49" s="16"/>
      <c r="V49" s="16"/>
      <c r="W49" s="16"/>
      <c r="X49" s="16"/>
      <c r="Y49" s="16"/>
    </row>
    <row r="50" spans="1:25" ht="0.2" hidden="1" customHeight="1" x14ac:dyDescent="0.3">
      <c r="A50" s="153"/>
      <c r="B50" s="124"/>
      <c r="C50" s="119"/>
      <c r="D50" s="111"/>
      <c r="E50" s="124"/>
      <c r="F50" s="119"/>
      <c r="G50" s="111"/>
      <c r="H50" s="111"/>
      <c r="I50" s="124"/>
      <c r="J50" s="119"/>
      <c r="K50" s="124"/>
      <c r="L50" s="151"/>
      <c r="M50" s="16"/>
      <c r="N50" s="16"/>
      <c r="O50" s="16"/>
      <c r="P50" s="16"/>
      <c r="Q50" s="16"/>
      <c r="R50" s="16"/>
      <c r="S50" s="16"/>
      <c r="T50" s="16"/>
      <c r="U50" s="16"/>
      <c r="V50" s="16"/>
      <c r="W50" s="16"/>
      <c r="X50" s="16"/>
      <c r="Y50" s="16"/>
    </row>
    <row r="51" spans="1:25" ht="24" customHeight="1" x14ac:dyDescent="0.3">
      <c r="A51" s="152" t="s">
        <v>604</v>
      </c>
      <c r="B51" s="147" t="s">
        <v>634</v>
      </c>
      <c r="C51" s="115"/>
      <c r="D51" s="159" t="s">
        <v>632</v>
      </c>
      <c r="E51" s="156">
        <v>9.68</v>
      </c>
      <c r="F51" s="115"/>
      <c r="G51" s="146">
        <v>170000000</v>
      </c>
      <c r="H51" s="146">
        <f>G51/E51</f>
        <v>17561983.47107438</v>
      </c>
      <c r="I51" s="147">
        <v>2021</v>
      </c>
      <c r="J51" s="115"/>
      <c r="K51" s="177" t="s">
        <v>635</v>
      </c>
      <c r="L51" s="161"/>
      <c r="M51" s="16"/>
      <c r="N51" s="16"/>
      <c r="O51" s="16"/>
      <c r="P51" s="16"/>
      <c r="Q51" s="16"/>
      <c r="R51" s="16"/>
      <c r="S51" s="16"/>
      <c r="T51" s="16"/>
      <c r="U51" s="16"/>
      <c r="V51" s="16"/>
      <c r="W51" s="16"/>
      <c r="X51" s="16"/>
      <c r="Y51" s="16"/>
    </row>
    <row r="52" spans="1:25" ht="0.2" hidden="1" customHeight="1" x14ac:dyDescent="0.3">
      <c r="A52" s="153"/>
      <c r="B52" s="124"/>
      <c r="C52" s="119"/>
      <c r="D52" s="111"/>
      <c r="E52" s="124"/>
      <c r="F52" s="119"/>
      <c r="G52" s="111"/>
      <c r="H52" s="111"/>
      <c r="I52" s="124"/>
      <c r="J52" s="119"/>
      <c r="K52" s="124"/>
      <c r="L52" s="151"/>
      <c r="M52" s="16"/>
      <c r="N52" s="16"/>
      <c r="O52" s="16"/>
      <c r="P52" s="16"/>
      <c r="Q52" s="16"/>
      <c r="R52" s="16"/>
      <c r="S52" s="16"/>
      <c r="T52" s="16"/>
      <c r="U52" s="16"/>
      <c r="V52" s="16"/>
      <c r="W52" s="16"/>
      <c r="X52" s="16"/>
      <c r="Y52" s="16"/>
    </row>
    <row r="53" spans="1:25" ht="24" customHeight="1" x14ac:dyDescent="0.3">
      <c r="A53" s="152" t="s">
        <v>607</v>
      </c>
      <c r="B53" s="147" t="s">
        <v>636</v>
      </c>
      <c r="C53" s="115"/>
      <c r="D53" s="159" t="s">
        <v>577</v>
      </c>
      <c r="E53" s="156">
        <v>18.29</v>
      </c>
      <c r="F53" s="115"/>
      <c r="G53" s="146">
        <v>185000000</v>
      </c>
      <c r="H53" s="146">
        <f>G53/E53</f>
        <v>10114816.839803172</v>
      </c>
      <c r="I53" s="147">
        <v>2015</v>
      </c>
      <c r="J53" s="115"/>
      <c r="K53" s="177" t="s">
        <v>637</v>
      </c>
      <c r="L53" s="161"/>
      <c r="M53" s="16"/>
      <c r="N53" s="16"/>
      <c r="O53" s="16"/>
      <c r="P53" s="16"/>
      <c r="Q53" s="16"/>
      <c r="R53" s="16"/>
      <c r="S53" s="16"/>
      <c r="T53" s="16"/>
      <c r="U53" s="16"/>
      <c r="V53" s="16"/>
      <c r="W53" s="16"/>
      <c r="X53" s="16"/>
      <c r="Y53" s="16"/>
    </row>
    <row r="54" spans="1:25" ht="0.2" hidden="1" customHeight="1" x14ac:dyDescent="0.3">
      <c r="A54" s="153"/>
      <c r="B54" s="124"/>
      <c r="C54" s="119"/>
      <c r="D54" s="111"/>
      <c r="E54" s="124"/>
      <c r="F54" s="119"/>
      <c r="G54" s="111"/>
      <c r="H54" s="111"/>
      <c r="I54" s="124"/>
      <c r="J54" s="119"/>
      <c r="K54" s="124"/>
      <c r="L54" s="151"/>
      <c r="M54" s="16"/>
      <c r="N54" s="16"/>
      <c r="O54" s="16"/>
      <c r="P54" s="16"/>
      <c r="Q54" s="16"/>
      <c r="R54" s="16"/>
      <c r="S54" s="16"/>
      <c r="T54" s="16"/>
      <c r="U54" s="16"/>
      <c r="V54" s="16"/>
      <c r="W54" s="16"/>
      <c r="X54" s="16"/>
      <c r="Y54" s="16"/>
    </row>
    <row r="55" spans="1:25" ht="21.95" customHeight="1" x14ac:dyDescent="0.3">
      <c r="A55" s="198" t="s">
        <v>610</v>
      </c>
      <c r="B55" s="172"/>
      <c r="C55" s="115"/>
      <c r="D55" s="183"/>
      <c r="E55" s="182"/>
      <c r="F55" s="115"/>
      <c r="G55" s="193"/>
      <c r="H55" s="157">
        <f>AVERAGE(H31:H52)</f>
        <v>35293668.067264304</v>
      </c>
      <c r="I55" s="183"/>
      <c r="J55" s="115"/>
      <c r="K55" s="196"/>
      <c r="L55" s="161"/>
      <c r="M55" s="16"/>
      <c r="N55" s="16"/>
      <c r="O55" s="16"/>
      <c r="P55" s="16"/>
      <c r="Q55" s="16"/>
      <c r="R55" s="16"/>
      <c r="S55" s="16"/>
      <c r="T55" s="16"/>
      <c r="U55" s="16"/>
      <c r="V55" s="16"/>
      <c r="W55" s="16"/>
      <c r="X55" s="16"/>
      <c r="Y55" s="16"/>
    </row>
    <row r="56" spans="1:25" ht="0.2" hidden="1" customHeight="1" x14ac:dyDescent="0.3">
      <c r="A56" s="199"/>
      <c r="B56" s="200"/>
      <c r="C56" s="119"/>
      <c r="D56" s="111"/>
      <c r="E56" s="124"/>
      <c r="F56" s="119"/>
      <c r="G56" s="111"/>
      <c r="H56" s="111"/>
      <c r="I56" s="124"/>
      <c r="J56" s="119"/>
      <c r="K56" s="124"/>
      <c r="L56" s="151"/>
      <c r="M56" s="16"/>
      <c r="N56" s="16"/>
      <c r="O56" s="16"/>
      <c r="P56" s="16"/>
      <c r="Q56" s="16"/>
      <c r="R56" s="16"/>
      <c r="S56" s="16"/>
      <c r="T56" s="16"/>
      <c r="U56" s="16"/>
      <c r="V56" s="16"/>
      <c r="W56" s="16"/>
      <c r="X56" s="16"/>
      <c r="Y56" s="16"/>
    </row>
    <row r="57" spans="1:25" ht="21.95" customHeight="1" x14ac:dyDescent="0.3">
      <c r="A57" s="171" t="s">
        <v>638</v>
      </c>
      <c r="B57" s="172"/>
      <c r="C57" s="115"/>
      <c r="D57" s="191"/>
      <c r="E57" s="168"/>
      <c r="F57" s="115"/>
      <c r="G57" s="166"/>
      <c r="H57" s="194">
        <f>AVERAGE(H45,H47,H49,H51,H53)</f>
        <v>13641881.12781403</v>
      </c>
      <c r="I57" s="191"/>
      <c r="J57" s="115"/>
      <c r="K57" s="160"/>
      <c r="L57" s="161"/>
      <c r="M57" s="16"/>
      <c r="N57" s="16"/>
      <c r="O57" s="16"/>
      <c r="P57" s="16"/>
      <c r="Q57" s="16"/>
      <c r="R57" s="16"/>
      <c r="S57" s="16"/>
      <c r="T57" s="16"/>
      <c r="U57" s="16"/>
      <c r="V57" s="16"/>
      <c r="W57" s="16"/>
      <c r="X57" s="16"/>
      <c r="Y57" s="16"/>
    </row>
    <row r="58" spans="1:25" ht="0.2" hidden="1" customHeight="1" x14ac:dyDescent="0.3">
      <c r="A58" s="173"/>
      <c r="B58" s="174"/>
      <c r="C58" s="169"/>
      <c r="D58" s="167"/>
      <c r="E58" s="162"/>
      <c r="F58" s="169"/>
      <c r="G58" s="167"/>
      <c r="H58" s="167"/>
      <c r="I58" s="162"/>
      <c r="J58" s="169"/>
      <c r="K58" s="162"/>
      <c r="L58" s="163"/>
      <c r="M58" s="16"/>
      <c r="N58" s="16"/>
      <c r="O58" s="16"/>
      <c r="P58" s="16"/>
      <c r="Q58" s="16"/>
      <c r="R58" s="16"/>
      <c r="S58" s="16"/>
      <c r="T58" s="16"/>
      <c r="U58" s="16"/>
      <c r="V58" s="16"/>
      <c r="W58" s="16"/>
      <c r="X58" s="16"/>
      <c r="Y58" s="16"/>
    </row>
    <row r="59" spans="1:25" ht="0.2" hidden="1" customHeight="1" x14ac:dyDescent="0.3">
      <c r="A59" s="51"/>
      <c r="B59" s="51"/>
      <c r="C59" s="51"/>
      <c r="D59" s="51"/>
      <c r="E59" s="51"/>
      <c r="F59" s="51"/>
      <c r="G59" s="51"/>
      <c r="H59" s="51"/>
      <c r="I59" s="51"/>
      <c r="J59" s="51"/>
      <c r="K59" s="51"/>
      <c r="L59" s="16"/>
      <c r="M59" s="16"/>
      <c r="N59" s="16"/>
      <c r="O59" s="16"/>
      <c r="P59" s="16"/>
      <c r="Q59" s="16"/>
      <c r="R59" s="16"/>
      <c r="S59" s="16"/>
      <c r="T59" s="16"/>
      <c r="U59" s="16"/>
      <c r="V59" s="16"/>
      <c r="W59" s="16"/>
      <c r="X59" s="16"/>
      <c r="Y59" s="16"/>
    </row>
    <row r="60" spans="1:25" ht="21.95" customHeight="1" x14ac:dyDescent="0.3">
      <c r="A60" s="29" t="s">
        <v>639</v>
      </c>
      <c r="B60" s="30"/>
      <c r="C60" s="30"/>
      <c r="D60" s="30"/>
      <c r="E60" s="30"/>
      <c r="F60" s="30"/>
      <c r="G60" s="30"/>
      <c r="H60" s="31"/>
      <c r="I60" s="30"/>
      <c r="J60" s="32" t="s">
        <v>568</v>
      </c>
      <c r="K60" s="22"/>
      <c r="L60" s="16"/>
      <c r="M60" s="16"/>
      <c r="N60" s="16"/>
      <c r="O60" s="16"/>
      <c r="P60" s="16"/>
      <c r="Q60" s="16"/>
      <c r="R60" s="16"/>
      <c r="S60" s="16"/>
      <c r="T60" s="16"/>
      <c r="U60" s="16"/>
      <c r="V60" s="16"/>
      <c r="W60" s="16"/>
      <c r="X60" s="16"/>
      <c r="Y60" s="16"/>
    </row>
    <row r="61" spans="1:25" ht="24" customHeight="1" x14ac:dyDescent="0.3">
      <c r="A61" s="33" t="s">
        <v>124</v>
      </c>
      <c r="B61" s="75" t="s">
        <v>640</v>
      </c>
      <c r="C61" s="75" t="s">
        <v>508</v>
      </c>
      <c r="D61" s="17" t="s">
        <v>509</v>
      </c>
      <c r="E61" s="75" t="s">
        <v>25</v>
      </c>
      <c r="F61" s="75" t="s">
        <v>641</v>
      </c>
      <c r="G61" s="75" t="s">
        <v>642</v>
      </c>
      <c r="H61" s="75" t="s">
        <v>643</v>
      </c>
      <c r="I61" s="75" t="s">
        <v>512</v>
      </c>
      <c r="J61" s="34" t="s">
        <v>644</v>
      </c>
      <c r="K61" s="23"/>
      <c r="L61" s="16"/>
      <c r="M61" s="16"/>
      <c r="N61" s="16"/>
      <c r="O61" s="16"/>
      <c r="P61" s="16"/>
      <c r="Q61" s="16"/>
      <c r="R61" s="16"/>
      <c r="S61" s="16"/>
      <c r="T61" s="16"/>
      <c r="U61" s="16"/>
      <c r="V61" s="16"/>
      <c r="W61" s="16"/>
      <c r="X61" s="16"/>
      <c r="Y61" s="16"/>
    </row>
    <row r="62" spans="1:25" ht="30" customHeight="1" x14ac:dyDescent="0.3">
      <c r="A62" s="152" t="s">
        <v>574</v>
      </c>
      <c r="B62" s="147" t="s">
        <v>645</v>
      </c>
      <c r="C62" s="147" t="s">
        <v>646</v>
      </c>
      <c r="D62" s="147" t="s">
        <v>647</v>
      </c>
      <c r="E62" s="147" t="s">
        <v>648</v>
      </c>
      <c r="F62" s="73" t="s">
        <v>649</v>
      </c>
      <c r="G62" s="146">
        <v>5519000000</v>
      </c>
      <c r="H62" s="146">
        <v>2704320000</v>
      </c>
      <c r="I62" s="170">
        <v>0.49</v>
      </c>
      <c r="J62" s="164" t="s">
        <v>650</v>
      </c>
      <c r="K62" s="23"/>
      <c r="L62" s="16"/>
      <c r="M62" s="16"/>
      <c r="N62" s="16"/>
      <c r="O62" s="16"/>
      <c r="P62" s="16"/>
      <c r="Q62" s="16"/>
      <c r="R62" s="16"/>
      <c r="S62" s="16"/>
      <c r="T62" s="16"/>
      <c r="U62" s="16"/>
      <c r="V62" s="16"/>
      <c r="W62" s="16"/>
      <c r="X62" s="16"/>
      <c r="Y62" s="16"/>
    </row>
    <row r="63" spans="1:25" ht="19.899999999999999" customHeight="1" x14ac:dyDescent="0.3">
      <c r="A63" s="153"/>
      <c r="B63" s="111"/>
      <c r="C63" s="111"/>
      <c r="D63" s="111"/>
      <c r="E63" s="111"/>
      <c r="F63" s="73" t="s">
        <v>651</v>
      </c>
      <c r="G63" s="111"/>
      <c r="H63" s="111"/>
      <c r="I63" s="111"/>
      <c r="J63" s="165"/>
      <c r="K63" s="23"/>
      <c r="L63" s="16"/>
      <c r="M63" s="16"/>
      <c r="N63" s="16"/>
      <c r="O63" s="16"/>
      <c r="P63" s="16"/>
      <c r="Q63" s="16"/>
      <c r="R63" s="16"/>
      <c r="S63" s="16"/>
      <c r="T63" s="16"/>
      <c r="U63" s="16"/>
      <c r="V63" s="16"/>
      <c r="W63" s="16"/>
      <c r="X63" s="16"/>
      <c r="Y63" s="16"/>
    </row>
    <row r="64" spans="1:25" ht="30" customHeight="1" x14ac:dyDescent="0.3">
      <c r="A64" s="152" t="s">
        <v>578</v>
      </c>
      <c r="B64" s="147" t="s">
        <v>652</v>
      </c>
      <c r="C64" s="147" t="s">
        <v>653</v>
      </c>
      <c r="D64" s="147" t="s">
        <v>647</v>
      </c>
      <c r="E64" s="147" t="s">
        <v>648</v>
      </c>
      <c r="F64" s="73" t="s">
        <v>649</v>
      </c>
      <c r="G64" s="146">
        <v>5930000000</v>
      </c>
      <c r="H64" s="146">
        <v>2905710000</v>
      </c>
      <c r="I64" s="170">
        <v>0.49</v>
      </c>
      <c r="J64" s="164" t="s">
        <v>650</v>
      </c>
      <c r="K64" s="23"/>
      <c r="L64" s="16"/>
      <c r="M64" s="16"/>
      <c r="N64" s="16"/>
      <c r="O64" s="16"/>
      <c r="P64" s="16"/>
      <c r="Q64" s="16"/>
      <c r="R64" s="16"/>
      <c r="S64" s="16"/>
      <c r="T64" s="16"/>
      <c r="U64" s="16"/>
      <c r="V64" s="16"/>
      <c r="W64" s="16"/>
      <c r="X64" s="16"/>
      <c r="Y64" s="16"/>
    </row>
    <row r="65" spans="1:25" ht="19.899999999999999" customHeight="1" x14ac:dyDescent="0.3">
      <c r="A65" s="153"/>
      <c r="B65" s="111"/>
      <c r="C65" s="111"/>
      <c r="D65" s="111"/>
      <c r="E65" s="111"/>
      <c r="F65" s="73" t="s">
        <v>651</v>
      </c>
      <c r="G65" s="111"/>
      <c r="H65" s="111"/>
      <c r="I65" s="111"/>
      <c r="J65" s="165"/>
      <c r="K65" s="23"/>
      <c r="L65" s="16"/>
      <c r="M65" s="16"/>
      <c r="N65" s="16"/>
      <c r="O65" s="16"/>
      <c r="P65" s="16"/>
      <c r="Q65" s="16"/>
      <c r="R65" s="16"/>
      <c r="S65" s="16"/>
      <c r="T65" s="16"/>
      <c r="U65" s="16"/>
      <c r="V65" s="16"/>
      <c r="W65" s="16"/>
      <c r="X65" s="16"/>
      <c r="Y65" s="16"/>
    </row>
    <row r="66" spans="1:25" ht="30" customHeight="1" x14ac:dyDescent="0.3">
      <c r="A66" s="152" t="s">
        <v>582</v>
      </c>
      <c r="B66" s="147" t="s">
        <v>654</v>
      </c>
      <c r="C66" s="147" t="s">
        <v>655</v>
      </c>
      <c r="D66" s="147" t="s">
        <v>647</v>
      </c>
      <c r="E66" s="147" t="s">
        <v>648</v>
      </c>
      <c r="F66" s="73" t="s">
        <v>656</v>
      </c>
      <c r="G66" s="146">
        <v>1482000000</v>
      </c>
      <c r="H66" s="146">
        <v>768900000</v>
      </c>
      <c r="I66" s="170">
        <v>0.51880000000000004</v>
      </c>
      <c r="J66" s="164" t="s">
        <v>657</v>
      </c>
      <c r="K66" s="23"/>
      <c r="L66" s="16"/>
      <c r="M66" s="16"/>
      <c r="N66" s="16"/>
      <c r="O66" s="16"/>
      <c r="P66" s="16"/>
      <c r="Q66" s="16"/>
      <c r="R66" s="16"/>
      <c r="S66" s="16"/>
      <c r="T66" s="16"/>
      <c r="U66" s="16"/>
      <c r="V66" s="16"/>
      <c r="W66" s="16"/>
      <c r="X66" s="16"/>
      <c r="Y66" s="16"/>
    </row>
    <row r="67" spans="1:25" ht="19.899999999999999" customHeight="1" x14ac:dyDescent="0.3">
      <c r="A67" s="153"/>
      <c r="B67" s="111"/>
      <c r="C67" s="111"/>
      <c r="D67" s="111"/>
      <c r="E67" s="111"/>
      <c r="F67" s="73" t="s">
        <v>658</v>
      </c>
      <c r="G67" s="111"/>
      <c r="H67" s="111"/>
      <c r="I67" s="111"/>
      <c r="J67" s="165"/>
      <c r="K67" s="23"/>
      <c r="L67" s="16"/>
      <c r="M67" s="16"/>
      <c r="N67" s="16"/>
      <c r="O67" s="16"/>
      <c r="P67" s="16"/>
      <c r="Q67" s="16"/>
      <c r="R67" s="16"/>
      <c r="S67" s="16"/>
      <c r="T67" s="16"/>
      <c r="U67" s="16"/>
      <c r="V67" s="16"/>
      <c r="W67" s="16"/>
      <c r="X67" s="16"/>
      <c r="Y67" s="16"/>
    </row>
    <row r="68" spans="1:25" ht="30" customHeight="1" x14ac:dyDescent="0.3">
      <c r="A68" s="152" t="s">
        <v>586</v>
      </c>
      <c r="B68" s="147" t="s">
        <v>659</v>
      </c>
      <c r="C68" s="147" t="s">
        <v>660</v>
      </c>
      <c r="D68" s="147" t="s">
        <v>647</v>
      </c>
      <c r="E68" s="147" t="s">
        <v>661</v>
      </c>
      <c r="F68" s="73" t="s">
        <v>662</v>
      </c>
      <c r="G68" s="146">
        <v>2862000000</v>
      </c>
      <c r="H68" s="146">
        <v>1584000001</v>
      </c>
      <c r="I68" s="170">
        <v>0.55349999999999999</v>
      </c>
      <c r="J68" s="164" t="s">
        <v>650</v>
      </c>
      <c r="K68" s="23"/>
      <c r="L68" s="16"/>
      <c r="M68" s="16"/>
      <c r="N68" s="16"/>
      <c r="O68" s="16"/>
      <c r="P68" s="16"/>
      <c r="Q68" s="16"/>
      <c r="R68" s="16"/>
      <c r="S68" s="16"/>
      <c r="T68" s="16"/>
      <c r="U68" s="16"/>
      <c r="V68" s="16"/>
      <c r="W68" s="16"/>
      <c r="X68" s="16"/>
      <c r="Y68" s="16"/>
    </row>
    <row r="69" spans="1:25" ht="19.899999999999999" customHeight="1" x14ac:dyDescent="0.3">
      <c r="A69" s="153"/>
      <c r="B69" s="111"/>
      <c r="C69" s="111"/>
      <c r="D69" s="111"/>
      <c r="E69" s="111"/>
      <c r="F69" s="73" t="s">
        <v>663</v>
      </c>
      <c r="G69" s="111"/>
      <c r="H69" s="111"/>
      <c r="I69" s="111"/>
      <c r="J69" s="165"/>
      <c r="K69" s="23"/>
      <c r="L69" s="16"/>
      <c r="M69" s="16"/>
      <c r="N69" s="16"/>
      <c r="O69" s="16"/>
      <c r="P69" s="16"/>
      <c r="Q69" s="16"/>
      <c r="R69" s="16"/>
      <c r="S69" s="16"/>
      <c r="T69" s="16"/>
      <c r="U69" s="16"/>
      <c r="V69" s="16"/>
      <c r="W69" s="16"/>
      <c r="X69" s="16"/>
      <c r="Y69" s="16"/>
    </row>
    <row r="70" spans="1:25" ht="30" customHeight="1" x14ac:dyDescent="0.3">
      <c r="A70" s="152" t="s">
        <v>590</v>
      </c>
      <c r="B70" s="147" t="s">
        <v>664</v>
      </c>
      <c r="C70" s="147" t="s">
        <v>665</v>
      </c>
      <c r="D70" s="147" t="s">
        <v>666</v>
      </c>
      <c r="E70" s="147" t="s">
        <v>661</v>
      </c>
      <c r="F70" s="73" t="s">
        <v>667</v>
      </c>
      <c r="G70" s="146">
        <v>3319000000</v>
      </c>
      <c r="H70" s="146">
        <v>851890000</v>
      </c>
      <c r="I70" s="170">
        <v>0.25669999999999998</v>
      </c>
      <c r="J70" s="164" t="s">
        <v>657</v>
      </c>
      <c r="K70" s="23"/>
      <c r="L70" s="16"/>
      <c r="M70" s="16"/>
      <c r="N70" s="16"/>
      <c r="O70" s="16"/>
      <c r="P70" s="16"/>
      <c r="Q70" s="16"/>
      <c r="R70" s="16"/>
      <c r="S70" s="16"/>
      <c r="T70" s="16"/>
      <c r="U70" s="16"/>
      <c r="V70" s="16"/>
      <c r="W70" s="16"/>
      <c r="X70" s="16"/>
      <c r="Y70" s="16"/>
    </row>
    <row r="71" spans="1:25" ht="19.899999999999999" customHeight="1" x14ac:dyDescent="0.3">
      <c r="A71" s="153"/>
      <c r="B71" s="111"/>
      <c r="C71" s="111"/>
      <c r="D71" s="111"/>
      <c r="E71" s="111"/>
      <c r="F71" s="73" t="s">
        <v>668</v>
      </c>
      <c r="G71" s="111"/>
      <c r="H71" s="111"/>
      <c r="I71" s="111"/>
      <c r="J71" s="165"/>
      <c r="K71" s="23"/>
      <c r="L71" s="16"/>
      <c r="M71" s="16"/>
      <c r="N71" s="16"/>
      <c r="O71" s="16"/>
      <c r="P71" s="16"/>
      <c r="Q71" s="16"/>
      <c r="R71" s="16"/>
      <c r="S71" s="16"/>
      <c r="T71" s="16"/>
      <c r="U71" s="16"/>
      <c r="V71" s="16"/>
      <c r="W71" s="16"/>
      <c r="X71" s="16"/>
      <c r="Y71" s="16"/>
    </row>
    <row r="72" spans="1:25" ht="30" customHeight="1" x14ac:dyDescent="0.3">
      <c r="A72" s="152" t="s">
        <v>593</v>
      </c>
      <c r="B72" s="147" t="s">
        <v>669</v>
      </c>
      <c r="C72" s="147" t="s">
        <v>670</v>
      </c>
      <c r="D72" s="147" t="s">
        <v>647</v>
      </c>
      <c r="E72" s="147" t="s">
        <v>648</v>
      </c>
      <c r="F72" s="73" t="s">
        <v>671</v>
      </c>
      <c r="G72" s="146">
        <v>3305000000</v>
      </c>
      <c r="H72" s="146">
        <v>1719460000</v>
      </c>
      <c r="I72" s="170">
        <v>0.52029999999999998</v>
      </c>
      <c r="J72" s="164" t="s">
        <v>650</v>
      </c>
      <c r="K72" s="23"/>
      <c r="L72" s="16"/>
      <c r="M72" s="16"/>
      <c r="N72" s="16"/>
      <c r="O72" s="16"/>
      <c r="P72" s="16"/>
      <c r="Q72" s="16"/>
      <c r="R72" s="16"/>
      <c r="S72" s="16"/>
      <c r="T72" s="16"/>
      <c r="U72" s="16"/>
      <c r="V72" s="16"/>
      <c r="W72" s="16"/>
      <c r="X72" s="16"/>
      <c r="Y72" s="16"/>
    </row>
    <row r="73" spans="1:25" ht="19.899999999999999" customHeight="1" x14ac:dyDescent="0.3">
      <c r="A73" s="153"/>
      <c r="B73" s="111"/>
      <c r="C73" s="111"/>
      <c r="D73" s="111"/>
      <c r="E73" s="111"/>
      <c r="F73" s="73" t="s">
        <v>672</v>
      </c>
      <c r="G73" s="111"/>
      <c r="H73" s="111"/>
      <c r="I73" s="111"/>
      <c r="J73" s="165"/>
      <c r="K73" s="23"/>
      <c r="L73" s="16"/>
      <c r="M73" s="16"/>
      <c r="N73" s="16"/>
      <c r="O73" s="16"/>
      <c r="P73" s="16"/>
      <c r="Q73" s="16"/>
      <c r="R73" s="16"/>
      <c r="S73" s="16"/>
      <c r="T73" s="16"/>
      <c r="U73" s="16"/>
      <c r="V73" s="16"/>
      <c r="W73" s="16"/>
      <c r="X73" s="16"/>
      <c r="Y73" s="16"/>
    </row>
    <row r="74" spans="1:25" ht="21.95" customHeight="1" x14ac:dyDescent="0.3">
      <c r="A74" s="171" t="s">
        <v>610</v>
      </c>
      <c r="B74" s="172"/>
      <c r="C74" s="172"/>
      <c r="D74" s="172"/>
      <c r="E74" s="172"/>
      <c r="F74" s="115"/>
      <c r="G74" s="166"/>
      <c r="H74" s="166"/>
      <c r="I74" s="197">
        <f>AVERAGE(I62:I69)</f>
        <v>0.51307500000000006</v>
      </c>
      <c r="J74" s="179" t="s">
        <v>673</v>
      </c>
      <c r="K74" s="23"/>
      <c r="L74" s="16"/>
      <c r="M74" s="16"/>
      <c r="N74" s="16"/>
      <c r="O74" s="16"/>
      <c r="P74" s="16"/>
      <c r="Q74" s="16"/>
      <c r="R74" s="16"/>
      <c r="S74" s="16"/>
      <c r="T74" s="16"/>
      <c r="U74" s="16"/>
      <c r="V74" s="16"/>
      <c r="W74" s="16"/>
      <c r="X74" s="16"/>
      <c r="Y74" s="16"/>
    </row>
    <row r="75" spans="1:25" ht="13.15" customHeight="1" x14ac:dyDescent="0.3">
      <c r="A75" s="173"/>
      <c r="B75" s="174"/>
      <c r="C75" s="174"/>
      <c r="D75" s="174"/>
      <c r="E75" s="174"/>
      <c r="F75" s="169"/>
      <c r="G75" s="167"/>
      <c r="H75" s="167"/>
      <c r="I75" s="167"/>
      <c r="J75" s="180"/>
      <c r="K75" s="23"/>
      <c r="L75" s="16"/>
      <c r="M75" s="16"/>
      <c r="N75" s="16"/>
      <c r="O75" s="16"/>
      <c r="P75" s="16"/>
      <c r="Q75" s="16"/>
      <c r="R75" s="16"/>
      <c r="S75" s="16"/>
      <c r="T75" s="16"/>
      <c r="U75" s="16"/>
      <c r="V75" s="16"/>
      <c r="W75" s="16"/>
      <c r="X75" s="16"/>
      <c r="Y75" s="16"/>
    </row>
    <row r="76" spans="1:25" x14ac:dyDescent="0.3">
      <c r="L76" s="16"/>
      <c r="M76" s="16"/>
      <c r="N76" s="16"/>
      <c r="O76" s="16"/>
      <c r="P76" s="16"/>
      <c r="Q76" s="16"/>
      <c r="R76" s="16"/>
      <c r="S76" s="16"/>
      <c r="T76" s="16"/>
      <c r="U76" s="16"/>
      <c r="V76" s="16"/>
      <c r="W76" s="16"/>
      <c r="X76" s="16"/>
      <c r="Y76" s="16"/>
    </row>
    <row r="77" spans="1:25" x14ac:dyDescent="0.3">
      <c r="L77" s="16"/>
      <c r="M77" s="16"/>
      <c r="N77" s="16"/>
      <c r="O77" s="16"/>
      <c r="P77" s="16"/>
      <c r="Q77" s="16"/>
      <c r="R77" s="16"/>
      <c r="S77" s="16"/>
      <c r="T77" s="16"/>
      <c r="U77" s="16"/>
      <c r="V77" s="16"/>
      <c r="W77" s="16"/>
      <c r="X77" s="16"/>
      <c r="Y77" s="16"/>
    </row>
  </sheetData>
  <mergeCells count="257">
    <mergeCell ref="A1:J1"/>
    <mergeCell ref="E12:F13"/>
    <mergeCell ref="I6:J7"/>
    <mergeCell ref="G4:G5"/>
    <mergeCell ref="A72:A73"/>
    <mergeCell ref="A47:A48"/>
    <mergeCell ref="B31:C32"/>
    <mergeCell ref="C72:C73"/>
    <mergeCell ref="I64:I65"/>
    <mergeCell ref="G45:G46"/>
    <mergeCell ref="I14:J14"/>
    <mergeCell ref="A55:C56"/>
    <mergeCell ref="A62:A63"/>
    <mergeCell ref="E55:F56"/>
    <mergeCell ref="D51:D52"/>
    <mergeCell ref="G47:G48"/>
    <mergeCell ref="B66:B67"/>
    <mergeCell ref="A64:A65"/>
    <mergeCell ref="G31:G32"/>
    <mergeCell ref="I53:J54"/>
    <mergeCell ref="D35:D36"/>
    <mergeCell ref="I47:J48"/>
    <mergeCell ref="D4:D5"/>
    <mergeCell ref="E26:F27"/>
    <mergeCell ref="E41:F42"/>
    <mergeCell ref="A24:C25"/>
    <mergeCell ref="B45:C46"/>
    <mergeCell ref="I22:J22"/>
    <mergeCell ref="I35:J36"/>
    <mergeCell ref="B10:B11"/>
    <mergeCell ref="A18:A19"/>
    <mergeCell ref="G20:G21"/>
    <mergeCell ref="D24:D25"/>
    <mergeCell ref="D33:D34"/>
    <mergeCell ref="I74:I75"/>
    <mergeCell ref="H20:H21"/>
    <mergeCell ref="D31:D32"/>
    <mergeCell ref="C64:C65"/>
    <mergeCell ref="A31:A32"/>
    <mergeCell ref="I57:J58"/>
    <mergeCell ref="J72:J73"/>
    <mergeCell ref="B72:B73"/>
    <mergeCell ref="D6:D7"/>
    <mergeCell ref="H35:H36"/>
    <mergeCell ref="I18:J19"/>
    <mergeCell ref="G43:G44"/>
    <mergeCell ref="B62:B63"/>
    <mergeCell ref="G57:G58"/>
    <mergeCell ref="B70:B71"/>
    <mergeCell ref="G66:G67"/>
    <mergeCell ref="D70:D71"/>
    <mergeCell ref="B53:C54"/>
    <mergeCell ref="E49:F50"/>
    <mergeCell ref="H6:H7"/>
    <mergeCell ref="I66:I67"/>
    <mergeCell ref="H64:H65"/>
    <mergeCell ref="I43:J44"/>
    <mergeCell ref="A66:A67"/>
    <mergeCell ref="A4:A5"/>
    <mergeCell ref="K55:L56"/>
    <mergeCell ref="B41:C42"/>
    <mergeCell ref="H16:H17"/>
    <mergeCell ref="B35:C36"/>
    <mergeCell ref="E72:E73"/>
    <mergeCell ref="I45:J46"/>
    <mergeCell ref="B20:B21"/>
    <mergeCell ref="G72:G73"/>
    <mergeCell ref="I23:J23"/>
    <mergeCell ref="D20:D21"/>
    <mergeCell ref="G16:G17"/>
    <mergeCell ref="E39:F40"/>
    <mergeCell ref="C62:C63"/>
    <mergeCell ref="A26:C27"/>
    <mergeCell ref="B43:C44"/>
    <mergeCell ref="E62:E63"/>
    <mergeCell ref="H18:H19"/>
    <mergeCell ref="B4:B5"/>
    <mergeCell ref="E32:F32"/>
    <mergeCell ref="H33:H34"/>
    <mergeCell ref="I16:J17"/>
    <mergeCell ref="K43:L44"/>
    <mergeCell ref="H70:H71"/>
    <mergeCell ref="B68:B69"/>
    <mergeCell ref="E31:F31"/>
    <mergeCell ref="H57:H58"/>
    <mergeCell ref="D68:D69"/>
    <mergeCell ref="B51:C52"/>
    <mergeCell ref="E47:F48"/>
    <mergeCell ref="C70:C71"/>
    <mergeCell ref="H66:H67"/>
    <mergeCell ref="J66:J67"/>
    <mergeCell ref="E70:E71"/>
    <mergeCell ref="D43:D44"/>
    <mergeCell ref="I51:J52"/>
    <mergeCell ref="J70:J71"/>
    <mergeCell ref="A2:J2"/>
    <mergeCell ref="E68:E69"/>
    <mergeCell ref="C18:C19"/>
    <mergeCell ref="K41:L42"/>
    <mergeCell ref="B39:C40"/>
    <mergeCell ref="A49:A50"/>
    <mergeCell ref="I12:J13"/>
    <mergeCell ref="B18:B19"/>
    <mergeCell ref="C20:C21"/>
    <mergeCell ref="B37:C38"/>
    <mergeCell ref="B8:B9"/>
    <mergeCell ref="A41:A42"/>
    <mergeCell ref="A6:A7"/>
    <mergeCell ref="H31:H32"/>
    <mergeCell ref="G53:G54"/>
    <mergeCell ref="I55:J56"/>
    <mergeCell ref="D57:D58"/>
    <mergeCell ref="I4:J5"/>
    <mergeCell ref="A12:A13"/>
    <mergeCell ref="D66:D67"/>
    <mergeCell ref="H51:H52"/>
    <mergeCell ref="C12:C13"/>
    <mergeCell ref="E45:F46"/>
    <mergeCell ref="G6:G7"/>
    <mergeCell ref="J74:J75"/>
    <mergeCell ref="A45:A46"/>
    <mergeCell ref="H41:H42"/>
    <mergeCell ref="E14:F14"/>
    <mergeCell ref="I72:I73"/>
    <mergeCell ref="G39:G40"/>
    <mergeCell ref="H49:H50"/>
    <mergeCell ref="B49:C50"/>
    <mergeCell ref="G62:G63"/>
    <mergeCell ref="I62:I63"/>
    <mergeCell ref="B33:C34"/>
    <mergeCell ref="A37:A38"/>
    <mergeCell ref="G64:G65"/>
    <mergeCell ref="E53:F54"/>
    <mergeCell ref="D53:D54"/>
    <mergeCell ref="E37:F38"/>
    <mergeCell ref="E24:F25"/>
    <mergeCell ref="D37:D38"/>
    <mergeCell ref="I49:J50"/>
    <mergeCell ref="D55:D56"/>
    <mergeCell ref="H62:H63"/>
    <mergeCell ref="A68:A69"/>
    <mergeCell ref="B47:C48"/>
    <mergeCell ref="E66:E67"/>
    <mergeCell ref="C6:C7"/>
    <mergeCell ref="H10:H11"/>
    <mergeCell ref="H68:H69"/>
    <mergeCell ref="G70:G71"/>
    <mergeCell ref="D49:D50"/>
    <mergeCell ref="I70:I71"/>
    <mergeCell ref="E6:F7"/>
    <mergeCell ref="H43:H44"/>
    <mergeCell ref="C4:C5"/>
    <mergeCell ref="I15:J15"/>
    <mergeCell ref="E64:E65"/>
    <mergeCell ref="E5:F5"/>
    <mergeCell ref="E4:F4"/>
    <mergeCell ref="D12:D13"/>
    <mergeCell ref="C8:C9"/>
    <mergeCell ref="H12:H13"/>
    <mergeCell ref="E8:F9"/>
    <mergeCell ref="J62:J63"/>
    <mergeCell ref="D39:D40"/>
    <mergeCell ref="G26:G27"/>
    <mergeCell ref="D26:D27"/>
    <mergeCell ref="E10:F11"/>
    <mergeCell ref="H4:H5"/>
    <mergeCell ref="I26:J27"/>
    <mergeCell ref="B6:B7"/>
    <mergeCell ref="G18:G19"/>
    <mergeCell ref="G49:G50"/>
    <mergeCell ref="E18:F19"/>
    <mergeCell ref="D62:D63"/>
    <mergeCell ref="G33:G34"/>
    <mergeCell ref="D18:D19"/>
    <mergeCell ref="H47:H48"/>
    <mergeCell ref="C66:C67"/>
    <mergeCell ref="G51:G52"/>
    <mergeCell ref="B64:B65"/>
    <mergeCell ref="D8:D9"/>
    <mergeCell ref="D64:D65"/>
    <mergeCell ref="E43:F44"/>
    <mergeCell ref="H37:H38"/>
    <mergeCell ref="G41:G42"/>
    <mergeCell ref="G35:G36"/>
    <mergeCell ref="H24:H25"/>
    <mergeCell ref="E33:F34"/>
    <mergeCell ref="D10:D11"/>
    <mergeCell ref="E51:F52"/>
    <mergeCell ref="E20:F21"/>
    <mergeCell ref="H8:H9"/>
    <mergeCell ref="G12:G13"/>
    <mergeCell ref="G74:G75"/>
    <mergeCell ref="D72:D73"/>
    <mergeCell ref="G68:G69"/>
    <mergeCell ref="D47:D48"/>
    <mergeCell ref="D16:D17"/>
    <mergeCell ref="E57:F58"/>
    <mergeCell ref="H45:H46"/>
    <mergeCell ref="H72:H73"/>
    <mergeCell ref="I68:I69"/>
    <mergeCell ref="A74:F75"/>
    <mergeCell ref="A53:A54"/>
    <mergeCell ref="A35:A36"/>
    <mergeCell ref="E22:F22"/>
    <mergeCell ref="E35:F36"/>
    <mergeCell ref="A70:A71"/>
    <mergeCell ref="A43:A44"/>
    <mergeCell ref="A39:A40"/>
    <mergeCell ref="I41:J42"/>
    <mergeCell ref="C68:C69"/>
    <mergeCell ref="A57:C58"/>
    <mergeCell ref="J64:J65"/>
    <mergeCell ref="B16:B17"/>
    <mergeCell ref="H74:H75"/>
    <mergeCell ref="D41:D42"/>
    <mergeCell ref="H55:H56"/>
    <mergeCell ref="C16:C17"/>
    <mergeCell ref="I39:J40"/>
    <mergeCell ref="I8:J9"/>
    <mergeCell ref="G10:G11"/>
    <mergeCell ref="D45:D46"/>
    <mergeCell ref="H39:H40"/>
    <mergeCell ref="K57:L58"/>
    <mergeCell ref="J68:J69"/>
    <mergeCell ref="E16:F17"/>
    <mergeCell ref="I10:J11"/>
    <mergeCell ref="K39:L40"/>
    <mergeCell ref="K49:L50"/>
    <mergeCell ref="K33:L34"/>
    <mergeCell ref="K51:L52"/>
    <mergeCell ref="K35:L36"/>
    <mergeCell ref="G37:G38"/>
    <mergeCell ref="G55:G56"/>
    <mergeCell ref="K53:L54"/>
    <mergeCell ref="G24:G25"/>
    <mergeCell ref="I31:J32"/>
    <mergeCell ref="K37:L38"/>
    <mergeCell ref="E15:F15"/>
    <mergeCell ref="I20:J21"/>
    <mergeCell ref="H26:H27"/>
    <mergeCell ref="H53:H54"/>
    <mergeCell ref="I37:J38"/>
    <mergeCell ref="B12:B13"/>
    <mergeCell ref="K31:L32"/>
    <mergeCell ref="G8:G9"/>
    <mergeCell ref="A51:A52"/>
    <mergeCell ref="I24:J25"/>
    <mergeCell ref="E23:F23"/>
    <mergeCell ref="I33:J34"/>
    <mergeCell ref="A16:A17"/>
    <mergeCell ref="C10:C11"/>
    <mergeCell ref="A33:A34"/>
    <mergeCell ref="A20:A21"/>
    <mergeCell ref="A8:A9"/>
    <mergeCell ref="A10:A11"/>
    <mergeCell ref="K45:L46"/>
    <mergeCell ref="K47:L48"/>
  </mergeCells>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7"/>
  <sheetViews>
    <sheetView workbookViewId="0">
      <selection sqref="A1:H1"/>
    </sheetView>
  </sheetViews>
  <sheetFormatPr defaultRowHeight="16.5" x14ac:dyDescent="0.3"/>
  <cols>
    <col min="1" max="1" width="84.5" style="66" customWidth="1"/>
    <col min="2" max="2" width="24" style="66" customWidth="1"/>
    <col min="3" max="3" width="18" style="66" customWidth="1"/>
    <col min="4" max="4" width="12.125" style="66" customWidth="1"/>
    <col min="5" max="5" width="9.75" style="66" customWidth="1"/>
    <col min="6" max="6" width="13.375" style="66" customWidth="1"/>
    <col min="7" max="7" width="13.875" style="66" customWidth="1"/>
    <col min="8" max="8" width="32" style="66" customWidth="1"/>
  </cols>
  <sheetData>
    <row r="1" spans="1:8" ht="20.25" customHeight="1" x14ac:dyDescent="0.3">
      <c r="A1" s="203" t="s">
        <v>674</v>
      </c>
      <c r="B1" s="103"/>
      <c r="C1" s="103"/>
      <c r="D1" s="103"/>
      <c r="E1" s="103"/>
      <c r="F1" s="103"/>
      <c r="G1" s="103"/>
      <c r="H1" s="103"/>
    </row>
    <row r="3" spans="1:8" ht="33" customHeight="1" x14ac:dyDescent="0.3">
      <c r="A3" s="40" t="s">
        <v>61</v>
      </c>
      <c r="B3" s="40" t="s">
        <v>62</v>
      </c>
      <c r="C3" s="40" t="s">
        <v>675</v>
      </c>
      <c r="D3" s="40" t="s">
        <v>63</v>
      </c>
      <c r="E3" s="40" t="s">
        <v>64</v>
      </c>
      <c r="F3" s="40" t="s">
        <v>676</v>
      </c>
      <c r="G3" s="40" t="s">
        <v>677</v>
      </c>
      <c r="H3" s="40" t="s">
        <v>29</v>
      </c>
    </row>
    <row r="4" spans="1:8" x14ac:dyDescent="0.3">
      <c r="A4" s="41" t="s">
        <v>68</v>
      </c>
      <c r="B4" s="41" t="s">
        <v>678</v>
      </c>
      <c r="C4" s="41" t="s">
        <v>679</v>
      </c>
      <c r="D4" s="42">
        <v>31361700000</v>
      </c>
      <c r="E4" s="88">
        <f t="shared" ref="E4:E11" si="0">IFERROR(D4/$D$14,"")</f>
        <v>1.1102272727272726</v>
      </c>
      <c r="F4" s="42">
        <f t="shared" ref="F4:F11" si="1">IFERROR(D4*20%*10%,"")</f>
        <v>627234000</v>
      </c>
      <c r="G4" s="42">
        <f t="shared" ref="G4:G11" si="2">IFERROR(D4+F4,"")</f>
        <v>31988934000</v>
      </c>
      <c r="H4" s="41" t="s">
        <v>680</v>
      </c>
    </row>
    <row r="5" spans="1:8" x14ac:dyDescent="0.3">
      <c r="A5" s="41" t="s">
        <v>76</v>
      </c>
      <c r="B5" s="41" t="s">
        <v>681</v>
      </c>
      <c r="C5" s="41" t="s">
        <v>682</v>
      </c>
      <c r="D5" s="42">
        <v>28225500000</v>
      </c>
      <c r="E5" s="88">
        <f t="shared" si="0"/>
        <v>0.99920348343245535</v>
      </c>
      <c r="F5" s="42">
        <f t="shared" si="1"/>
        <v>564510000</v>
      </c>
      <c r="G5" s="42">
        <f t="shared" si="2"/>
        <v>28790010000</v>
      </c>
      <c r="H5" s="41" t="s">
        <v>680</v>
      </c>
    </row>
    <row r="6" spans="1:8" x14ac:dyDescent="0.3">
      <c r="A6" s="41" t="s">
        <v>83</v>
      </c>
      <c r="B6" s="41" t="s">
        <v>683</v>
      </c>
      <c r="C6" s="41" t="s">
        <v>684</v>
      </c>
      <c r="D6" s="42">
        <v>25402900000</v>
      </c>
      <c r="E6" s="88">
        <f t="shared" si="0"/>
        <v>0.89928136505239309</v>
      </c>
      <c r="F6" s="42">
        <f t="shared" si="1"/>
        <v>508058000</v>
      </c>
      <c r="G6" s="42">
        <f t="shared" si="2"/>
        <v>25910958000</v>
      </c>
      <c r="H6" s="41" t="s">
        <v>680</v>
      </c>
    </row>
    <row r="7" spans="1:8" x14ac:dyDescent="0.3">
      <c r="A7" s="41" t="s">
        <v>89</v>
      </c>
      <c r="B7" s="41" t="s">
        <v>685</v>
      </c>
      <c r="C7" s="41" t="s">
        <v>686</v>
      </c>
      <c r="D7" s="42">
        <v>22862600000</v>
      </c>
      <c r="E7" s="88">
        <f t="shared" si="0"/>
        <v>0.80935287453979043</v>
      </c>
      <c r="F7" s="42">
        <f t="shared" si="1"/>
        <v>457252000</v>
      </c>
      <c r="G7" s="42">
        <f t="shared" si="2"/>
        <v>23319852000</v>
      </c>
      <c r="H7" s="41" t="s">
        <v>680</v>
      </c>
    </row>
    <row r="8" spans="1:8" x14ac:dyDescent="0.3">
      <c r="A8" s="41" t="s">
        <v>95</v>
      </c>
      <c r="B8" s="41" t="s">
        <v>687</v>
      </c>
      <c r="C8" s="41" t="s">
        <v>688</v>
      </c>
      <c r="D8" s="42">
        <v>20576300000</v>
      </c>
      <c r="E8" s="88">
        <f t="shared" si="0"/>
        <v>0.72841617105635792</v>
      </c>
      <c r="F8" s="42">
        <f t="shared" si="1"/>
        <v>411526000</v>
      </c>
      <c r="G8" s="42">
        <f t="shared" si="2"/>
        <v>20987826000</v>
      </c>
      <c r="H8" s="41" t="s">
        <v>680</v>
      </c>
    </row>
    <row r="9" spans="1:8" x14ac:dyDescent="0.3">
      <c r="A9" s="41" t="s">
        <v>101</v>
      </c>
      <c r="B9" s="41" t="s">
        <v>689</v>
      </c>
      <c r="C9" s="41" t="s">
        <v>690</v>
      </c>
      <c r="D9" s="42">
        <v>18518600000</v>
      </c>
      <c r="E9" s="88">
        <f t="shared" si="0"/>
        <v>0.65557207589917865</v>
      </c>
      <c r="F9" s="42">
        <f t="shared" si="1"/>
        <v>370372000</v>
      </c>
      <c r="G9" s="42">
        <f t="shared" si="2"/>
        <v>18888972000</v>
      </c>
      <c r="H9" s="41" t="s">
        <v>680</v>
      </c>
    </row>
    <row r="10" spans="1:8" x14ac:dyDescent="0.3">
      <c r="A10" s="41" t="s">
        <v>107</v>
      </c>
      <c r="B10" s="41" t="s">
        <v>691</v>
      </c>
      <c r="C10" s="41" t="s">
        <v>692</v>
      </c>
      <c r="D10" s="42">
        <v>16666700000</v>
      </c>
      <c r="E10" s="88">
        <f t="shared" si="0"/>
        <v>0.59001345227980739</v>
      </c>
      <c r="F10" s="42">
        <f t="shared" si="1"/>
        <v>333334000</v>
      </c>
      <c r="G10" s="42">
        <f t="shared" si="2"/>
        <v>17000034000</v>
      </c>
      <c r="H10" s="41" t="s">
        <v>680</v>
      </c>
    </row>
    <row r="11" spans="1:8" x14ac:dyDescent="0.3">
      <c r="A11" s="41" t="s">
        <v>113</v>
      </c>
      <c r="B11" s="41" t="s">
        <v>693</v>
      </c>
      <c r="C11" s="41" t="s">
        <v>694</v>
      </c>
      <c r="D11" s="42">
        <v>15000000000</v>
      </c>
      <c r="E11" s="88">
        <f t="shared" si="0"/>
        <v>0.53101104502973662</v>
      </c>
      <c r="F11" s="42">
        <f t="shared" si="1"/>
        <v>300000000</v>
      </c>
      <c r="G11" s="42">
        <f t="shared" si="2"/>
        <v>15300000000</v>
      </c>
      <c r="H11" s="41" t="s">
        <v>680</v>
      </c>
    </row>
    <row r="13" spans="1:8" x14ac:dyDescent="0.3">
      <c r="A13" s="67" t="s">
        <v>695</v>
      </c>
    </row>
    <row r="14" spans="1:8" x14ac:dyDescent="0.3">
      <c r="A14" s="67" t="s">
        <v>696</v>
      </c>
      <c r="C14" s="67" t="s">
        <v>12</v>
      </c>
      <c r="D14" s="43">
        <v>28248000000</v>
      </c>
    </row>
    <row r="15" spans="1:8" x14ac:dyDescent="0.3">
      <c r="C15" s="67" t="s">
        <v>697</v>
      </c>
      <c r="D15" s="89">
        <v>0.8</v>
      </c>
    </row>
    <row r="16" spans="1:8" x14ac:dyDescent="0.3">
      <c r="A16" s="67" t="s">
        <v>698</v>
      </c>
      <c r="C16" s="67" t="s">
        <v>699</v>
      </c>
      <c r="D16" s="89">
        <v>0.2</v>
      </c>
    </row>
    <row r="17" spans="3:4" x14ac:dyDescent="0.3">
      <c r="C17" s="67" t="s">
        <v>700</v>
      </c>
      <c r="D17" s="89">
        <v>0.1</v>
      </c>
    </row>
  </sheetData>
  <mergeCells count="1">
    <mergeCell ref="A1:H1"/>
  </mergeCells>
  <phoneticPr fontId="6"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2"/>
  <sheetViews>
    <sheetView workbookViewId="0">
      <selection sqref="A1:L1"/>
    </sheetView>
  </sheetViews>
  <sheetFormatPr defaultRowHeight="16.5" x14ac:dyDescent="0.3"/>
  <cols>
    <col min="1" max="1" width="52.125" style="66" customWidth="1"/>
    <col min="2" max="3" width="75.375" style="66" customWidth="1"/>
    <col min="4" max="4" width="14" style="66" customWidth="1"/>
    <col min="5" max="11" width="75.375" style="66" customWidth="1"/>
    <col min="12" max="12" width="22" style="66" customWidth="1"/>
  </cols>
  <sheetData>
    <row r="1" spans="1:12" ht="20.25" customHeight="1" x14ac:dyDescent="0.3">
      <c r="A1" s="203" t="s">
        <v>701</v>
      </c>
      <c r="B1" s="103"/>
      <c r="C1" s="103"/>
      <c r="D1" s="103"/>
      <c r="E1" s="103"/>
      <c r="F1" s="103"/>
      <c r="G1" s="103"/>
      <c r="H1" s="103"/>
      <c r="I1" s="103"/>
      <c r="J1" s="103"/>
      <c r="K1" s="103"/>
      <c r="L1" s="103"/>
    </row>
    <row r="3" spans="1:12" x14ac:dyDescent="0.3">
      <c r="A3" s="40" t="s">
        <v>702</v>
      </c>
      <c r="B3" s="40" t="s">
        <v>703</v>
      </c>
      <c r="C3" s="40" t="s">
        <v>128</v>
      </c>
      <c r="D3" s="40" t="s">
        <v>2</v>
      </c>
      <c r="E3" s="40" t="s">
        <v>704</v>
      </c>
      <c r="F3" s="40" t="s">
        <v>705</v>
      </c>
      <c r="G3" s="40" t="s">
        <v>706</v>
      </c>
      <c r="H3" s="40" t="s">
        <v>12</v>
      </c>
      <c r="I3" s="40" t="s">
        <v>707</v>
      </c>
      <c r="J3" s="40" t="s">
        <v>708</v>
      </c>
      <c r="K3" s="40" t="s">
        <v>709</v>
      </c>
      <c r="L3" s="40" t="s">
        <v>29</v>
      </c>
    </row>
    <row r="4" spans="1:12" x14ac:dyDescent="0.3">
      <c r="A4" s="41">
        <v>1</v>
      </c>
      <c r="B4" s="41" t="s">
        <v>710</v>
      </c>
      <c r="C4" s="41">
        <v>1</v>
      </c>
      <c r="D4" s="41" t="s">
        <v>711</v>
      </c>
      <c r="E4" s="44">
        <v>711.49</v>
      </c>
      <c r="F4" s="44">
        <v>461.29</v>
      </c>
      <c r="G4" s="44">
        <v>210.5651</v>
      </c>
      <c r="H4" s="42">
        <v>12300000000</v>
      </c>
      <c r="I4" s="42">
        <f t="shared" ref="I4:I38" si="0">H4*80%</f>
        <v>9840000000</v>
      </c>
      <c r="J4" s="42">
        <f t="shared" ref="J4:J38" si="1">H4*20%</f>
        <v>2460000000</v>
      </c>
      <c r="K4" s="42">
        <f t="shared" ref="K4:K38" si="2">IFERROR(H4/(E4*0.3025),0)</f>
        <v>57149302.203535385</v>
      </c>
      <c r="L4" s="41" t="s">
        <v>712</v>
      </c>
    </row>
    <row r="5" spans="1:12" x14ac:dyDescent="0.3">
      <c r="A5" s="41">
        <v>2</v>
      </c>
      <c r="B5" s="41" t="s">
        <v>713</v>
      </c>
      <c r="C5" s="41">
        <v>2</v>
      </c>
      <c r="D5" s="41" t="s">
        <v>714</v>
      </c>
      <c r="E5" s="44">
        <v>298.14999999999998</v>
      </c>
      <c r="F5" s="44">
        <v>193.3</v>
      </c>
      <c r="G5" s="44">
        <v>110.7354</v>
      </c>
      <c r="H5" s="42">
        <v>1750000000</v>
      </c>
      <c r="I5" s="42">
        <f t="shared" si="0"/>
        <v>1400000000</v>
      </c>
      <c r="J5" s="42">
        <f t="shared" si="1"/>
        <v>350000000</v>
      </c>
      <c r="K5" s="42">
        <f t="shared" si="2"/>
        <v>19403400.861788191</v>
      </c>
      <c r="L5" s="41" t="s">
        <v>712</v>
      </c>
    </row>
    <row r="6" spans="1:12" x14ac:dyDescent="0.3">
      <c r="A6" s="41">
        <v>3</v>
      </c>
      <c r="B6" s="41" t="s">
        <v>715</v>
      </c>
      <c r="C6" s="41">
        <v>2</v>
      </c>
      <c r="D6" s="41" t="s">
        <v>716</v>
      </c>
      <c r="E6" s="44">
        <v>375.7</v>
      </c>
      <c r="F6" s="44">
        <v>243.59</v>
      </c>
      <c r="G6" s="44">
        <v>88.690100000000001</v>
      </c>
      <c r="H6" s="42">
        <v>2200000000</v>
      </c>
      <c r="I6" s="42">
        <f t="shared" si="0"/>
        <v>1760000000</v>
      </c>
      <c r="J6" s="42">
        <f t="shared" si="1"/>
        <v>440000000</v>
      </c>
      <c r="K6" s="42">
        <f t="shared" si="2"/>
        <v>19357804.824932855</v>
      </c>
      <c r="L6" s="41" t="s">
        <v>712</v>
      </c>
    </row>
    <row r="7" spans="1:12" x14ac:dyDescent="0.3">
      <c r="A7" s="41">
        <v>4</v>
      </c>
      <c r="B7" s="41" t="s">
        <v>717</v>
      </c>
      <c r="C7" s="41">
        <v>3</v>
      </c>
      <c r="D7" s="41" t="s">
        <v>718</v>
      </c>
      <c r="E7" s="44">
        <v>32.46</v>
      </c>
      <c r="F7" s="44">
        <v>21.05</v>
      </c>
      <c r="G7" s="44">
        <v>9.6065000000000005</v>
      </c>
      <c r="H7" s="42">
        <v>190000000</v>
      </c>
      <c r="I7" s="42">
        <f t="shared" si="0"/>
        <v>152000000</v>
      </c>
      <c r="J7" s="42">
        <f t="shared" si="1"/>
        <v>38000000</v>
      </c>
      <c r="K7" s="42">
        <f t="shared" si="2"/>
        <v>19349943.732400462</v>
      </c>
      <c r="L7" s="41" t="s">
        <v>712</v>
      </c>
    </row>
    <row r="8" spans="1:12" x14ac:dyDescent="0.3">
      <c r="A8" s="41">
        <v>5</v>
      </c>
      <c r="B8" s="41" t="s">
        <v>719</v>
      </c>
      <c r="C8" s="41">
        <v>3</v>
      </c>
      <c r="D8" s="41" t="s">
        <v>718</v>
      </c>
      <c r="E8" s="44">
        <v>41.66</v>
      </c>
      <c r="F8" s="44">
        <v>27.02</v>
      </c>
      <c r="G8" s="44">
        <v>12.3293</v>
      </c>
      <c r="H8" s="42">
        <v>244000000</v>
      </c>
      <c r="I8" s="42">
        <f t="shared" si="0"/>
        <v>195200000</v>
      </c>
      <c r="J8" s="42">
        <f t="shared" si="1"/>
        <v>48800000</v>
      </c>
      <c r="K8" s="42">
        <f t="shared" si="2"/>
        <v>19361775.570041623</v>
      </c>
      <c r="L8" s="41" t="s">
        <v>712</v>
      </c>
    </row>
    <row r="9" spans="1:12" x14ac:dyDescent="0.3">
      <c r="A9" s="41">
        <v>6</v>
      </c>
      <c r="B9" s="41" t="s">
        <v>720</v>
      </c>
      <c r="C9" s="41">
        <v>3</v>
      </c>
      <c r="D9" s="41" t="s">
        <v>718</v>
      </c>
      <c r="E9" s="44">
        <v>25.93</v>
      </c>
      <c r="F9" s="44">
        <v>16.809999999999999</v>
      </c>
      <c r="G9" s="44">
        <v>7.6740000000000004</v>
      </c>
      <c r="H9" s="42">
        <v>152000000</v>
      </c>
      <c r="I9" s="42">
        <f t="shared" si="0"/>
        <v>121600000</v>
      </c>
      <c r="J9" s="42">
        <f t="shared" si="1"/>
        <v>30400000</v>
      </c>
      <c r="K9" s="42">
        <f t="shared" si="2"/>
        <v>19378300.765251648</v>
      </c>
      <c r="L9" s="41" t="s">
        <v>712</v>
      </c>
    </row>
    <row r="10" spans="1:12" x14ac:dyDescent="0.3">
      <c r="A10" s="41">
        <v>7</v>
      </c>
      <c r="B10" s="41" t="s">
        <v>721</v>
      </c>
      <c r="C10" s="41">
        <v>3</v>
      </c>
      <c r="D10" s="41" t="s">
        <v>718</v>
      </c>
      <c r="E10" s="44">
        <v>34.840000000000003</v>
      </c>
      <c r="F10" s="44">
        <v>22.58</v>
      </c>
      <c r="G10" s="44">
        <v>10.3109</v>
      </c>
      <c r="H10" s="42">
        <v>204000000</v>
      </c>
      <c r="I10" s="42">
        <f t="shared" si="0"/>
        <v>163200000</v>
      </c>
      <c r="J10" s="42">
        <f t="shared" si="1"/>
        <v>40800000</v>
      </c>
      <c r="K10" s="42">
        <f t="shared" si="2"/>
        <v>19356491.541023426</v>
      </c>
      <c r="L10" s="41" t="s">
        <v>712</v>
      </c>
    </row>
    <row r="11" spans="1:12" x14ac:dyDescent="0.3">
      <c r="A11" s="41">
        <v>8</v>
      </c>
      <c r="B11" s="41" t="s">
        <v>722</v>
      </c>
      <c r="C11" s="41">
        <v>3</v>
      </c>
      <c r="D11" s="41" t="s">
        <v>718</v>
      </c>
      <c r="E11" s="44">
        <v>27.73</v>
      </c>
      <c r="F11" s="44">
        <v>17.98</v>
      </c>
      <c r="G11" s="44">
        <v>8.2606999999999999</v>
      </c>
      <c r="H11" s="42">
        <v>162000000</v>
      </c>
      <c r="I11" s="42">
        <f t="shared" si="0"/>
        <v>129600000</v>
      </c>
      <c r="J11" s="42">
        <f t="shared" si="1"/>
        <v>32400000</v>
      </c>
      <c r="K11" s="42">
        <f t="shared" si="2"/>
        <v>19312556.440052096</v>
      </c>
      <c r="L11" s="41" t="s">
        <v>712</v>
      </c>
    </row>
    <row r="12" spans="1:12" x14ac:dyDescent="0.3">
      <c r="A12" s="41">
        <v>9</v>
      </c>
      <c r="B12" s="41" t="s">
        <v>723</v>
      </c>
      <c r="C12" s="41">
        <v>3</v>
      </c>
      <c r="D12" s="41" t="s">
        <v>718</v>
      </c>
      <c r="E12" s="44">
        <v>28.91</v>
      </c>
      <c r="F12" s="44">
        <v>18.75</v>
      </c>
      <c r="G12" s="44">
        <v>8.5558999999999994</v>
      </c>
      <c r="H12" s="42">
        <v>169000000</v>
      </c>
      <c r="I12" s="42">
        <f t="shared" si="0"/>
        <v>135200000</v>
      </c>
      <c r="J12" s="42">
        <f t="shared" si="1"/>
        <v>33800000</v>
      </c>
      <c r="K12" s="42">
        <f t="shared" si="2"/>
        <v>19324721.063660093</v>
      </c>
      <c r="L12" s="41" t="s">
        <v>712</v>
      </c>
    </row>
    <row r="13" spans="1:12" x14ac:dyDescent="0.3">
      <c r="A13" s="41">
        <v>10</v>
      </c>
      <c r="B13" s="41" t="s">
        <v>724</v>
      </c>
      <c r="C13" s="41">
        <v>3</v>
      </c>
      <c r="D13" s="41" t="s">
        <v>718</v>
      </c>
      <c r="E13" s="44">
        <v>38.700000000000003</v>
      </c>
      <c r="F13" s="44">
        <v>25.09</v>
      </c>
      <c r="G13" s="44">
        <v>11.453200000000001</v>
      </c>
      <c r="H13" s="42">
        <v>227000000</v>
      </c>
      <c r="I13" s="42">
        <f t="shared" si="0"/>
        <v>181600000</v>
      </c>
      <c r="J13" s="42">
        <f t="shared" si="1"/>
        <v>45400000</v>
      </c>
      <c r="K13" s="42">
        <f t="shared" si="2"/>
        <v>19390522.561769918</v>
      </c>
      <c r="L13" s="41" t="s">
        <v>712</v>
      </c>
    </row>
    <row r="14" spans="1:12" x14ac:dyDescent="0.3">
      <c r="A14" s="41">
        <v>11</v>
      </c>
      <c r="B14" s="41" t="s">
        <v>725</v>
      </c>
      <c r="C14" s="41">
        <v>3</v>
      </c>
      <c r="D14" s="41" t="s">
        <v>718</v>
      </c>
      <c r="E14" s="44">
        <v>14.58</v>
      </c>
      <c r="F14" s="44">
        <v>9.4600000000000009</v>
      </c>
      <c r="G14" s="44">
        <v>4.3148999999999997</v>
      </c>
      <c r="H14" s="42">
        <v>85000000</v>
      </c>
      <c r="I14" s="42">
        <f t="shared" si="0"/>
        <v>68000000</v>
      </c>
      <c r="J14" s="42">
        <f t="shared" si="1"/>
        <v>17000000</v>
      </c>
      <c r="K14" s="42">
        <f t="shared" si="2"/>
        <v>19272409.844800416</v>
      </c>
      <c r="L14" s="41" t="s">
        <v>712</v>
      </c>
    </row>
    <row r="15" spans="1:12" x14ac:dyDescent="0.3">
      <c r="A15" s="41">
        <v>12</v>
      </c>
      <c r="B15" s="41" t="s">
        <v>726</v>
      </c>
      <c r="C15" s="41">
        <v>3</v>
      </c>
      <c r="D15" s="41" t="s">
        <v>718</v>
      </c>
      <c r="E15" s="44">
        <v>33.78</v>
      </c>
      <c r="F15" s="44">
        <v>21.9</v>
      </c>
      <c r="G15" s="44">
        <v>9.9971999999999994</v>
      </c>
      <c r="H15" s="42">
        <v>198000000</v>
      </c>
      <c r="I15" s="42">
        <f t="shared" si="0"/>
        <v>158400000</v>
      </c>
      <c r="J15" s="42">
        <f t="shared" si="1"/>
        <v>39600000</v>
      </c>
      <c r="K15" s="42">
        <f t="shared" si="2"/>
        <v>19376715.646697883</v>
      </c>
      <c r="L15" s="41" t="s">
        <v>712</v>
      </c>
    </row>
    <row r="16" spans="1:12" x14ac:dyDescent="0.3">
      <c r="A16" s="41">
        <v>13</v>
      </c>
      <c r="B16" s="41" t="s">
        <v>727</v>
      </c>
      <c r="C16" s="41">
        <v>3</v>
      </c>
      <c r="D16" s="41" t="s">
        <v>718</v>
      </c>
      <c r="E16" s="44">
        <v>33.99</v>
      </c>
      <c r="F16" s="44">
        <v>22.03</v>
      </c>
      <c r="G16" s="44">
        <v>10.0593</v>
      </c>
      <c r="H16" s="42">
        <v>199000000</v>
      </c>
      <c r="I16" s="42">
        <f t="shared" si="0"/>
        <v>159200000</v>
      </c>
      <c r="J16" s="42">
        <f t="shared" si="1"/>
        <v>39800000</v>
      </c>
      <c r="K16" s="42">
        <f t="shared" si="2"/>
        <v>19354258.30154226</v>
      </c>
      <c r="L16" s="41" t="s">
        <v>712</v>
      </c>
    </row>
    <row r="17" spans="1:12" x14ac:dyDescent="0.3">
      <c r="A17" s="41">
        <v>14</v>
      </c>
      <c r="B17" s="41" t="s">
        <v>728</v>
      </c>
      <c r="C17" s="41">
        <v>3</v>
      </c>
      <c r="D17" s="41" t="s">
        <v>718</v>
      </c>
      <c r="E17" s="44">
        <v>33.22</v>
      </c>
      <c r="F17" s="44">
        <v>21.54</v>
      </c>
      <c r="G17" s="44">
        <v>9.8314000000000004</v>
      </c>
      <c r="H17" s="42">
        <v>195000000</v>
      </c>
      <c r="I17" s="42">
        <f t="shared" si="0"/>
        <v>156000000</v>
      </c>
      <c r="J17" s="42">
        <f t="shared" si="1"/>
        <v>39000000</v>
      </c>
      <c r="K17" s="42">
        <f t="shared" si="2"/>
        <v>19404819.361034129</v>
      </c>
      <c r="L17" s="41" t="s">
        <v>712</v>
      </c>
    </row>
    <row r="18" spans="1:12" x14ac:dyDescent="0.3">
      <c r="A18" s="41">
        <v>15</v>
      </c>
      <c r="B18" s="41" t="s">
        <v>729</v>
      </c>
      <c r="C18" s="41">
        <v>3</v>
      </c>
      <c r="D18" s="41" t="s">
        <v>718</v>
      </c>
      <c r="E18" s="44">
        <v>94.59</v>
      </c>
      <c r="F18" s="44">
        <v>61.33</v>
      </c>
      <c r="G18" s="44">
        <v>27.9939</v>
      </c>
      <c r="H18" s="42">
        <v>539000000</v>
      </c>
      <c r="I18" s="42">
        <f t="shared" si="0"/>
        <v>431200000</v>
      </c>
      <c r="J18" s="42">
        <f t="shared" si="1"/>
        <v>107800000</v>
      </c>
      <c r="K18" s="42">
        <f t="shared" si="2"/>
        <v>18837278.589895144</v>
      </c>
      <c r="L18" s="41" t="s">
        <v>712</v>
      </c>
    </row>
    <row r="19" spans="1:12" x14ac:dyDescent="0.3">
      <c r="A19" s="41">
        <v>16</v>
      </c>
      <c r="B19" s="41" t="s">
        <v>730</v>
      </c>
      <c r="C19" s="41">
        <v>3</v>
      </c>
      <c r="D19" s="41" t="s">
        <v>718</v>
      </c>
      <c r="E19" s="44">
        <v>84.11</v>
      </c>
      <c r="F19" s="44">
        <v>54.53</v>
      </c>
      <c r="G19" s="44">
        <v>24.892299999999999</v>
      </c>
      <c r="H19" s="42">
        <v>479000000</v>
      </c>
      <c r="I19" s="42">
        <f t="shared" si="0"/>
        <v>383200000</v>
      </c>
      <c r="J19" s="42">
        <f t="shared" si="1"/>
        <v>95800000</v>
      </c>
      <c r="K19" s="42">
        <f t="shared" si="2"/>
        <v>18826192.775890682</v>
      </c>
      <c r="L19" s="41" t="s">
        <v>712</v>
      </c>
    </row>
    <row r="20" spans="1:12" x14ac:dyDescent="0.3">
      <c r="A20" s="41">
        <v>17</v>
      </c>
      <c r="B20" s="41" t="s">
        <v>731</v>
      </c>
      <c r="C20" s="41">
        <v>4</v>
      </c>
      <c r="D20" s="41" t="s">
        <v>718</v>
      </c>
      <c r="E20" s="44">
        <v>20.84</v>
      </c>
      <c r="F20" s="44">
        <v>13.5</v>
      </c>
      <c r="G20" s="44">
        <v>6.1676000000000002</v>
      </c>
      <c r="H20" s="42">
        <v>111000000</v>
      </c>
      <c r="I20" s="42">
        <f t="shared" si="0"/>
        <v>88800000</v>
      </c>
      <c r="J20" s="42">
        <f t="shared" si="1"/>
        <v>22200000</v>
      </c>
      <c r="K20" s="42">
        <f t="shared" si="2"/>
        <v>17607588.712107994</v>
      </c>
      <c r="L20" s="41" t="s">
        <v>712</v>
      </c>
    </row>
    <row r="21" spans="1:12" x14ac:dyDescent="0.3">
      <c r="A21" s="41">
        <v>18</v>
      </c>
      <c r="B21" s="41" t="s">
        <v>732</v>
      </c>
      <c r="C21" s="41">
        <v>4</v>
      </c>
      <c r="D21" s="41" t="s">
        <v>718</v>
      </c>
      <c r="E21" s="44">
        <v>18.32</v>
      </c>
      <c r="F21" s="44">
        <v>11.88</v>
      </c>
      <c r="G21" s="44">
        <v>5.4218000000000002</v>
      </c>
      <c r="H21" s="42">
        <v>97000000</v>
      </c>
      <c r="I21" s="42">
        <f t="shared" si="0"/>
        <v>77600000</v>
      </c>
      <c r="J21" s="42">
        <f t="shared" si="1"/>
        <v>19400000</v>
      </c>
      <c r="K21" s="42">
        <f t="shared" si="2"/>
        <v>17503338.265545491</v>
      </c>
      <c r="L21" s="41" t="s">
        <v>712</v>
      </c>
    </row>
    <row r="22" spans="1:12" x14ac:dyDescent="0.3">
      <c r="A22" s="41">
        <v>19</v>
      </c>
      <c r="B22" s="41" t="s">
        <v>733</v>
      </c>
      <c r="C22" s="41">
        <v>4</v>
      </c>
      <c r="D22" s="41" t="s">
        <v>718</v>
      </c>
      <c r="E22" s="44">
        <v>18.59</v>
      </c>
      <c r="F22" s="44">
        <v>12.05</v>
      </c>
      <c r="G22" s="44">
        <v>5.5016999999999996</v>
      </c>
      <c r="H22" s="42">
        <v>99000000</v>
      </c>
      <c r="I22" s="42">
        <f t="shared" si="0"/>
        <v>79200000</v>
      </c>
      <c r="J22" s="42">
        <f t="shared" si="1"/>
        <v>19800000</v>
      </c>
      <c r="K22" s="42">
        <f t="shared" si="2"/>
        <v>17604772.849528093</v>
      </c>
      <c r="L22" s="41" t="s">
        <v>712</v>
      </c>
    </row>
    <row r="23" spans="1:12" x14ac:dyDescent="0.3">
      <c r="A23" s="41">
        <v>20</v>
      </c>
      <c r="B23" s="41" t="s">
        <v>734</v>
      </c>
      <c r="C23" s="41">
        <v>4</v>
      </c>
      <c r="D23" s="41" t="s">
        <v>718</v>
      </c>
      <c r="E23" s="44">
        <v>19.38</v>
      </c>
      <c r="F23" s="44">
        <v>12.56</v>
      </c>
      <c r="G23" s="44">
        <v>5.7355</v>
      </c>
      <c r="H23" s="42">
        <v>103000000</v>
      </c>
      <c r="I23" s="42">
        <f t="shared" si="0"/>
        <v>82400000</v>
      </c>
      <c r="J23" s="42">
        <f t="shared" si="1"/>
        <v>20600000</v>
      </c>
      <c r="K23" s="42">
        <f t="shared" si="2"/>
        <v>17569446.221289735</v>
      </c>
      <c r="L23" s="41" t="s">
        <v>712</v>
      </c>
    </row>
    <row r="24" spans="1:12" x14ac:dyDescent="0.3">
      <c r="A24" s="41">
        <v>21</v>
      </c>
      <c r="B24" s="41" t="s">
        <v>735</v>
      </c>
      <c r="C24" s="41">
        <v>4</v>
      </c>
      <c r="D24" s="41" t="s">
        <v>718</v>
      </c>
      <c r="E24" s="44">
        <v>20.55</v>
      </c>
      <c r="F24" s="44">
        <v>13.32</v>
      </c>
      <c r="G24" s="44">
        <v>6.0818000000000003</v>
      </c>
      <c r="H24" s="42">
        <v>109000000</v>
      </c>
      <c r="I24" s="42">
        <f t="shared" si="0"/>
        <v>87200000</v>
      </c>
      <c r="J24" s="42">
        <f t="shared" si="1"/>
        <v>21800000</v>
      </c>
      <c r="K24" s="42">
        <f t="shared" si="2"/>
        <v>17534334.720797893</v>
      </c>
      <c r="L24" s="41" t="s">
        <v>712</v>
      </c>
    </row>
    <row r="25" spans="1:12" x14ac:dyDescent="0.3">
      <c r="A25" s="41">
        <v>22</v>
      </c>
      <c r="B25" s="41" t="s">
        <v>736</v>
      </c>
      <c r="C25" s="41">
        <v>4</v>
      </c>
      <c r="D25" s="41" t="s">
        <v>718</v>
      </c>
      <c r="E25" s="44">
        <v>20.55</v>
      </c>
      <c r="F25" s="44">
        <v>13.32</v>
      </c>
      <c r="G25" s="44">
        <v>6.0818000000000003</v>
      </c>
      <c r="H25" s="42">
        <v>109000000</v>
      </c>
      <c r="I25" s="42">
        <f t="shared" si="0"/>
        <v>87200000</v>
      </c>
      <c r="J25" s="42">
        <f t="shared" si="1"/>
        <v>21800000</v>
      </c>
      <c r="K25" s="42">
        <f t="shared" si="2"/>
        <v>17534334.720797893</v>
      </c>
      <c r="L25" s="41" t="s">
        <v>712</v>
      </c>
    </row>
    <row r="26" spans="1:12" x14ac:dyDescent="0.3">
      <c r="A26" s="41">
        <v>23</v>
      </c>
      <c r="B26" s="41" t="s">
        <v>737</v>
      </c>
      <c r="C26" s="41">
        <v>4</v>
      </c>
      <c r="D26" s="41" t="s">
        <v>718</v>
      </c>
      <c r="E26" s="44">
        <v>18.21</v>
      </c>
      <c r="F26" s="44">
        <v>11.81</v>
      </c>
      <c r="G26" s="44">
        <v>5.3891999999999998</v>
      </c>
      <c r="H26" s="42">
        <v>97000000</v>
      </c>
      <c r="I26" s="42">
        <f t="shared" si="0"/>
        <v>77600000</v>
      </c>
      <c r="J26" s="42">
        <f t="shared" si="1"/>
        <v>19400000</v>
      </c>
      <c r="K26" s="42">
        <f t="shared" si="2"/>
        <v>17609069.578516938</v>
      </c>
      <c r="L26" s="41" t="s">
        <v>712</v>
      </c>
    </row>
    <row r="27" spans="1:12" x14ac:dyDescent="0.3">
      <c r="A27" s="41">
        <v>24</v>
      </c>
      <c r="B27" s="41" t="s">
        <v>738</v>
      </c>
      <c r="C27" s="41">
        <v>4</v>
      </c>
      <c r="D27" s="41" t="s">
        <v>718</v>
      </c>
      <c r="E27" s="44">
        <v>16.5</v>
      </c>
      <c r="F27" s="44">
        <v>10.7</v>
      </c>
      <c r="G27" s="44">
        <v>4.8832000000000004</v>
      </c>
      <c r="H27" s="42">
        <v>88000000</v>
      </c>
      <c r="I27" s="42">
        <f t="shared" si="0"/>
        <v>70400000</v>
      </c>
      <c r="J27" s="42">
        <f t="shared" si="1"/>
        <v>17600000</v>
      </c>
      <c r="K27" s="42">
        <f t="shared" si="2"/>
        <v>17630853.994490359</v>
      </c>
      <c r="L27" s="41" t="s">
        <v>712</v>
      </c>
    </row>
    <row r="28" spans="1:12" x14ac:dyDescent="0.3">
      <c r="A28" s="41">
        <v>25</v>
      </c>
      <c r="B28" s="41" t="s">
        <v>739</v>
      </c>
      <c r="C28" s="41">
        <v>4</v>
      </c>
      <c r="D28" s="41" t="s">
        <v>718</v>
      </c>
      <c r="E28" s="44">
        <v>16.5</v>
      </c>
      <c r="F28" s="44">
        <v>10.7</v>
      </c>
      <c r="G28" s="44">
        <v>4.8832000000000004</v>
      </c>
      <c r="H28" s="42">
        <v>88000000</v>
      </c>
      <c r="I28" s="42">
        <f t="shared" si="0"/>
        <v>70400000</v>
      </c>
      <c r="J28" s="42">
        <f t="shared" si="1"/>
        <v>17600000</v>
      </c>
      <c r="K28" s="42">
        <f t="shared" si="2"/>
        <v>17630853.994490359</v>
      </c>
      <c r="L28" s="41" t="s">
        <v>712</v>
      </c>
    </row>
    <row r="29" spans="1:12" x14ac:dyDescent="0.3">
      <c r="A29" s="41">
        <v>26</v>
      </c>
      <c r="B29" s="41" t="s">
        <v>740</v>
      </c>
      <c r="C29" s="41">
        <v>4</v>
      </c>
      <c r="D29" s="41" t="s">
        <v>718</v>
      </c>
      <c r="E29" s="44">
        <v>27.22</v>
      </c>
      <c r="F29" s="44">
        <v>17.66</v>
      </c>
      <c r="G29" s="44">
        <v>8.0556999999999999</v>
      </c>
      <c r="H29" s="42">
        <v>145000000</v>
      </c>
      <c r="I29" s="42">
        <f t="shared" si="0"/>
        <v>116000000</v>
      </c>
      <c r="J29" s="42">
        <f t="shared" si="1"/>
        <v>29000000</v>
      </c>
      <c r="K29" s="42">
        <f t="shared" si="2"/>
        <v>17609803.19526843</v>
      </c>
      <c r="L29" s="41" t="s">
        <v>712</v>
      </c>
    </row>
    <row r="30" spans="1:12" x14ac:dyDescent="0.3">
      <c r="A30" s="41">
        <v>27</v>
      </c>
      <c r="B30" s="41" t="s">
        <v>741</v>
      </c>
      <c r="C30" s="41">
        <v>4</v>
      </c>
      <c r="D30" s="41" t="s">
        <v>718</v>
      </c>
      <c r="E30" s="44">
        <v>21.01</v>
      </c>
      <c r="F30" s="44">
        <v>13.62</v>
      </c>
      <c r="G30" s="44">
        <v>6.2179000000000002</v>
      </c>
      <c r="H30" s="42">
        <v>112000000</v>
      </c>
      <c r="I30" s="42">
        <f t="shared" si="0"/>
        <v>89600000</v>
      </c>
      <c r="J30" s="42">
        <f t="shared" si="1"/>
        <v>22400000</v>
      </c>
      <c r="K30" s="42">
        <f t="shared" si="2"/>
        <v>17622462.345754284</v>
      </c>
      <c r="L30" s="41" t="s">
        <v>712</v>
      </c>
    </row>
    <row r="31" spans="1:12" x14ac:dyDescent="0.3">
      <c r="A31" s="41">
        <v>28</v>
      </c>
      <c r="B31" s="41" t="s">
        <v>742</v>
      </c>
      <c r="C31" s="41">
        <v>4</v>
      </c>
      <c r="D31" s="41" t="s">
        <v>743</v>
      </c>
      <c r="E31" s="44">
        <v>335.73</v>
      </c>
      <c r="F31" s="44">
        <v>217.68</v>
      </c>
      <c r="G31" s="44">
        <v>99.359099999999998</v>
      </c>
      <c r="H31" s="42">
        <v>1570000000</v>
      </c>
      <c r="I31" s="42">
        <f t="shared" si="0"/>
        <v>1256000000</v>
      </c>
      <c r="J31" s="42">
        <f t="shared" si="1"/>
        <v>314000000</v>
      </c>
      <c r="K31" s="42">
        <f t="shared" si="2"/>
        <v>15459097.02626545</v>
      </c>
      <c r="L31" s="41" t="s">
        <v>712</v>
      </c>
    </row>
    <row r="32" spans="1:12" x14ac:dyDescent="0.3">
      <c r="A32" s="41">
        <v>29</v>
      </c>
      <c r="B32" s="41" t="s">
        <v>744</v>
      </c>
      <c r="C32" s="41">
        <v>5</v>
      </c>
      <c r="D32" s="41" t="s">
        <v>745</v>
      </c>
      <c r="E32" s="44">
        <v>417.91</v>
      </c>
      <c r="F32" s="44">
        <v>270.94</v>
      </c>
      <c r="G32" s="44">
        <v>123.6803</v>
      </c>
      <c r="H32" s="42">
        <v>1960000000</v>
      </c>
      <c r="I32" s="42">
        <f t="shared" si="0"/>
        <v>1568000000</v>
      </c>
      <c r="J32" s="42">
        <f t="shared" si="1"/>
        <v>392000000</v>
      </c>
      <c r="K32" s="42">
        <f t="shared" si="2"/>
        <v>15504148.842993004</v>
      </c>
      <c r="L32" s="41" t="s">
        <v>712</v>
      </c>
    </row>
    <row r="33" spans="1:12" x14ac:dyDescent="0.3">
      <c r="A33" s="41">
        <v>30</v>
      </c>
      <c r="B33" s="41" t="s">
        <v>746</v>
      </c>
      <c r="C33" s="41">
        <v>5</v>
      </c>
      <c r="D33" s="41" t="s">
        <v>745</v>
      </c>
      <c r="E33" s="44">
        <v>233.81</v>
      </c>
      <c r="F33" s="44">
        <v>151.59</v>
      </c>
      <c r="G33" s="44">
        <v>69.195999999999998</v>
      </c>
      <c r="H33" s="42">
        <v>1100000000</v>
      </c>
      <c r="I33" s="42">
        <f t="shared" si="0"/>
        <v>880000000</v>
      </c>
      <c r="J33" s="42">
        <f t="shared" si="1"/>
        <v>220000000</v>
      </c>
      <c r="K33" s="42">
        <f t="shared" si="2"/>
        <v>15552643.755030308</v>
      </c>
      <c r="L33" s="41" t="s">
        <v>712</v>
      </c>
    </row>
    <row r="34" spans="1:12" x14ac:dyDescent="0.3">
      <c r="A34" s="41">
        <v>31</v>
      </c>
      <c r="B34" s="41" t="s">
        <v>747</v>
      </c>
      <c r="C34" s="41">
        <v>6</v>
      </c>
      <c r="D34" s="41" t="s">
        <v>745</v>
      </c>
      <c r="E34" s="44">
        <v>382.19</v>
      </c>
      <c r="F34" s="44">
        <v>247.79</v>
      </c>
      <c r="G34" s="44">
        <v>113.10890000000001</v>
      </c>
      <c r="H34" s="42">
        <v>1790000000</v>
      </c>
      <c r="I34" s="42">
        <f t="shared" si="0"/>
        <v>1432000000</v>
      </c>
      <c r="J34" s="42">
        <f t="shared" si="1"/>
        <v>358000000</v>
      </c>
      <c r="K34" s="42">
        <f t="shared" si="2"/>
        <v>15482758.240406152</v>
      </c>
      <c r="L34" s="41" t="s">
        <v>712</v>
      </c>
    </row>
    <row r="35" spans="1:12" x14ac:dyDescent="0.3">
      <c r="A35" s="41">
        <v>32</v>
      </c>
      <c r="B35" s="41" t="s">
        <v>748</v>
      </c>
      <c r="C35" s="41">
        <v>6</v>
      </c>
      <c r="D35" s="41" t="s">
        <v>745</v>
      </c>
      <c r="E35" s="44">
        <v>109.14</v>
      </c>
      <c r="F35" s="44">
        <v>70.760000000000005</v>
      </c>
      <c r="G35" s="44">
        <v>32.299900000000001</v>
      </c>
      <c r="H35" s="42">
        <v>563000000</v>
      </c>
      <c r="I35" s="42">
        <f t="shared" si="0"/>
        <v>450400000</v>
      </c>
      <c r="J35" s="42">
        <f t="shared" si="1"/>
        <v>112600000</v>
      </c>
      <c r="K35" s="42">
        <f t="shared" si="2"/>
        <v>17052932.241097566</v>
      </c>
      <c r="L35" s="41" t="s">
        <v>712</v>
      </c>
    </row>
    <row r="36" spans="1:12" x14ac:dyDescent="0.3">
      <c r="A36" s="41">
        <v>33</v>
      </c>
      <c r="B36" s="41" t="s">
        <v>749</v>
      </c>
      <c r="C36" s="41">
        <v>6</v>
      </c>
      <c r="D36" s="41" t="s">
        <v>745</v>
      </c>
      <c r="E36" s="44">
        <v>76.22</v>
      </c>
      <c r="F36" s="44">
        <v>49.41</v>
      </c>
      <c r="G36" s="44">
        <v>22.557300000000001</v>
      </c>
      <c r="H36" s="42">
        <v>393000000</v>
      </c>
      <c r="I36" s="42">
        <f t="shared" si="0"/>
        <v>314400000</v>
      </c>
      <c r="J36" s="42">
        <f t="shared" si="1"/>
        <v>78600000</v>
      </c>
      <c r="K36" s="42">
        <f t="shared" si="2"/>
        <v>17045047.936486598</v>
      </c>
      <c r="L36" s="41" t="s">
        <v>712</v>
      </c>
    </row>
    <row r="37" spans="1:12" x14ac:dyDescent="0.3">
      <c r="A37" s="41">
        <v>34</v>
      </c>
      <c r="B37" s="41" t="s">
        <v>750</v>
      </c>
      <c r="C37" s="41">
        <v>6</v>
      </c>
      <c r="D37" s="41" t="s">
        <v>745</v>
      </c>
      <c r="E37" s="44">
        <v>61.17</v>
      </c>
      <c r="F37" s="44">
        <v>39.67</v>
      </c>
      <c r="G37" s="44">
        <v>18.103200000000001</v>
      </c>
      <c r="H37" s="42">
        <v>316000000</v>
      </c>
      <c r="I37" s="42">
        <f t="shared" si="0"/>
        <v>252800000</v>
      </c>
      <c r="J37" s="42">
        <f t="shared" si="1"/>
        <v>63200000</v>
      </c>
      <c r="K37" s="42">
        <f t="shared" si="2"/>
        <v>17077457.890690759</v>
      </c>
      <c r="L37" s="41" t="s">
        <v>712</v>
      </c>
    </row>
    <row r="38" spans="1:12" x14ac:dyDescent="0.3">
      <c r="A38" s="41">
        <v>35</v>
      </c>
      <c r="B38" s="41" t="s">
        <v>751</v>
      </c>
      <c r="C38" s="41">
        <v>6</v>
      </c>
      <c r="D38" s="41" t="s">
        <v>745</v>
      </c>
      <c r="E38" s="44">
        <v>19.8</v>
      </c>
      <c r="F38" s="44">
        <v>12.83</v>
      </c>
      <c r="G38" s="44">
        <v>5.8597999999999999</v>
      </c>
      <c r="H38" s="42">
        <v>105000000</v>
      </c>
      <c r="I38" s="42">
        <f t="shared" si="0"/>
        <v>84000000</v>
      </c>
      <c r="J38" s="42">
        <f t="shared" si="1"/>
        <v>21000000</v>
      </c>
      <c r="K38" s="42">
        <f t="shared" si="2"/>
        <v>17530678.687703483</v>
      </c>
      <c r="L38" s="41" t="s">
        <v>712</v>
      </c>
    </row>
    <row r="39" spans="1:12" x14ac:dyDescent="0.3">
      <c r="A39" s="41"/>
      <c r="B39" s="41"/>
      <c r="C39" s="41"/>
      <c r="D39" s="41"/>
      <c r="E39" s="44"/>
      <c r="F39" s="44"/>
      <c r="G39" s="44"/>
      <c r="H39" s="42"/>
      <c r="I39" s="42"/>
      <c r="J39" s="42"/>
      <c r="K39" s="42"/>
      <c r="L39" s="41"/>
    </row>
    <row r="40" spans="1:12" ht="33" customHeight="1" x14ac:dyDescent="0.3">
      <c r="A40" s="45" t="s">
        <v>22</v>
      </c>
      <c r="B40" s="45"/>
      <c r="C40" s="45"/>
      <c r="D40" s="45"/>
      <c r="E40" s="46">
        <f t="shared" ref="E40:J40" si="3">SUM(E4:E38)</f>
        <v>3763.4799999999996</v>
      </c>
      <c r="F40" s="46">
        <f t="shared" si="3"/>
        <v>2440.04</v>
      </c>
      <c r="G40" s="46">
        <f t="shared" si="3"/>
        <v>1113.8539999999998</v>
      </c>
      <c r="H40" s="47">
        <f t="shared" si="3"/>
        <v>28248000000</v>
      </c>
      <c r="I40" s="47">
        <f t="shared" si="3"/>
        <v>22598400000</v>
      </c>
      <c r="J40" s="47">
        <f t="shared" si="3"/>
        <v>5649600000</v>
      </c>
      <c r="K40" s="47">
        <f>IFERROR(H40/(E40*0.3025),0)</f>
        <v>24812625.065582439</v>
      </c>
      <c r="L40" s="45" t="s">
        <v>752</v>
      </c>
    </row>
    <row r="42" spans="1:12" x14ac:dyDescent="0.3">
      <c r="A42" s="67" t="s">
        <v>753</v>
      </c>
      <c r="B42" s="102" t="s">
        <v>754</v>
      </c>
      <c r="C42" s="103"/>
      <c r="D42" s="103"/>
      <c r="E42" s="103"/>
      <c r="F42" s="103"/>
      <c r="G42" s="103"/>
      <c r="H42" s="103"/>
      <c r="I42" s="103"/>
      <c r="J42" s="103"/>
      <c r="K42" s="103"/>
      <c r="L42" s="103"/>
    </row>
  </sheetData>
  <mergeCells count="2">
    <mergeCell ref="B42:L42"/>
    <mergeCell ref="A1:L1"/>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
  <sheetViews>
    <sheetView workbookViewId="0">
      <selection sqref="A1:E1"/>
    </sheetView>
  </sheetViews>
  <sheetFormatPr defaultRowHeight="16.5" x14ac:dyDescent="0.3"/>
  <cols>
    <col min="1" max="1" width="33" style="66" customWidth="1"/>
    <col min="2" max="2" width="42" style="66" customWidth="1"/>
    <col min="3" max="3" width="23.75" style="66" customWidth="1"/>
    <col min="4" max="4" width="8.25" style="66" customWidth="1"/>
    <col min="5" max="5" width="42" style="66" customWidth="1"/>
  </cols>
  <sheetData>
    <row r="1" spans="1:5" ht="20.25" customHeight="1" x14ac:dyDescent="0.3">
      <c r="A1" s="203" t="s">
        <v>755</v>
      </c>
      <c r="B1" s="103"/>
      <c r="C1" s="103"/>
      <c r="D1" s="103"/>
      <c r="E1" s="103"/>
    </row>
    <row r="3" spans="1:5" x14ac:dyDescent="0.3">
      <c r="A3" s="39" t="s">
        <v>10</v>
      </c>
      <c r="B3" s="39" t="s">
        <v>756</v>
      </c>
      <c r="C3" s="39" t="s">
        <v>757</v>
      </c>
      <c r="D3" s="39" t="s">
        <v>758</v>
      </c>
      <c r="E3" s="39" t="s">
        <v>759</v>
      </c>
    </row>
    <row r="4" spans="1:5" ht="33" customHeight="1" x14ac:dyDescent="0.3">
      <c r="A4" s="41" t="s">
        <v>760</v>
      </c>
      <c r="B4" s="41" t="s">
        <v>761</v>
      </c>
      <c r="C4" s="41" t="s">
        <v>762</v>
      </c>
      <c r="D4" s="41" t="s">
        <v>763</v>
      </c>
      <c r="E4" s="41"/>
    </row>
    <row r="5" spans="1:5" ht="33" customHeight="1" x14ac:dyDescent="0.3">
      <c r="A5" s="41" t="s">
        <v>760</v>
      </c>
      <c r="B5" s="41" t="s">
        <v>764</v>
      </c>
      <c r="C5" s="41" t="s">
        <v>765</v>
      </c>
      <c r="D5" s="41" t="s">
        <v>763</v>
      </c>
      <c r="E5" s="41"/>
    </row>
    <row r="6" spans="1:5" ht="33" customHeight="1" x14ac:dyDescent="0.3">
      <c r="A6" s="41" t="s">
        <v>760</v>
      </c>
      <c r="B6" s="41" t="s">
        <v>766</v>
      </c>
      <c r="C6" s="41" t="s">
        <v>767</v>
      </c>
      <c r="D6" s="41" t="s">
        <v>763</v>
      </c>
      <c r="E6" s="41"/>
    </row>
    <row r="7" spans="1:5" ht="33" customHeight="1" x14ac:dyDescent="0.3">
      <c r="A7" s="41" t="s">
        <v>768</v>
      </c>
      <c r="B7" s="41" t="s">
        <v>769</v>
      </c>
      <c r="C7" s="41" t="s">
        <v>770</v>
      </c>
      <c r="D7" s="41" t="s">
        <v>771</v>
      </c>
      <c r="E7" s="41" t="s">
        <v>772</v>
      </c>
    </row>
    <row r="8" spans="1:5" x14ac:dyDescent="0.3">
      <c r="A8" s="41" t="s">
        <v>58</v>
      </c>
      <c r="B8" s="41" t="s">
        <v>773</v>
      </c>
      <c r="C8" s="41" t="s">
        <v>774</v>
      </c>
      <c r="D8" s="41" t="s">
        <v>33</v>
      </c>
      <c r="E8" s="41" t="s">
        <v>775</v>
      </c>
    </row>
    <row r="9" spans="1:5" ht="33" customHeight="1" x14ac:dyDescent="0.3">
      <c r="A9" s="41" t="s">
        <v>58</v>
      </c>
      <c r="B9" s="41" t="s">
        <v>776</v>
      </c>
      <c r="C9" s="41" t="s">
        <v>774</v>
      </c>
      <c r="D9" s="41" t="s">
        <v>33</v>
      </c>
      <c r="E9" s="41" t="s">
        <v>777</v>
      </c>
    </row>
    <row r="10" spans="1:5" ht="33" customHeight="1" x14ac:dyDescent="0.3">
      <c r="A10" s="41" t="s">
        <v>58</v>
      </c>
      <c r="B10" s="41" t="s">
        <v>778</v>
      </c>
      <c r="C10" s="41" t="s">
        <v>779</v>
      </c>
      <c r="D10" s="41" t="s">
        <v>30</v>
      </c>
      <c r="E10" s="41" t="s">
        <v>780</v>
      </c>
    </row>
  </sheetData>
  <mergeCells count="1">
    <mergeCell ref="A1:E1"/>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물건정보</vt:lpstr>
      <vt:lpstr>target_시세조사</vt:lpstr>
      <vt:lpstr>시세조사</vt:lpstr>
      <vt:lpstr>제주_공매차수</vt:lpstr>
      <vt:lpstr>제주_감정평가_호실별</vt:lpstr>
      <vt:lpstr>작업메모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2026-06-29T04:15:51Z</dcterms:created>
  <dcterms:modified xsi:type="dcterms:W3CDTF">2026-06-29T05:04:05Z</dcterms:modified>
</cp:coreProperties>
</file>